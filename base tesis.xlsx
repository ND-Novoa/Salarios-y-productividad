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Tesis\"/>
    </mc:Choice>
  </mc:AlternateContent>
  <xr:revisionPtr revIDLastSave="0" documentId="13_ncr:1_{56A2DD81-120F-4789-A87B-4246D7EB4D76}" xr6:coauthVersionLast="47" xr6:coauthVersionMax="47" xr10:uidLastSave="{00000000-0000-0000-0000-000000000000}"/>
  <bookViews>
    <workbookView xWindow="-108" yWindow="-108" windowWidth="23256" windowHeight="12456" tabRatio="944" xr2:uid="{C6330003-B0F1-43E4-9D35-DEF5A6027F70}"/>
  </bookViews>
  <sheets>
    <sheet name="VAB_trim" sheetId="4" r:id="rId1"/>
    <sheet name="Salarios_Total_General" sheetId="8" r:id="rId2"/>
    <sheet name="Salario_sector_trim" sheetId="3" r:id="rId3"/>
    <sheet name="Salarios_Ind_Trim" sheetId="5" r:id="rId4"/>
    <sheet name="Puesto_desest_trim" sheetId="2" r:id="rId5"/>
    <sheet name="IPC_trim" sheetId="9" r:id="rId6"/>
    <sheet name="borador" sheetId="7" r:id="rId7"/>
    <sheet name="borador_2" sheetId="6" r:id="rId8"/>
  </sheets>
  <definedNames>
    <definedName name="DatosExternos_1" localSheetId="4" hidden="1">Puesto_desest_trim!$A$1:$C$69</definedName>
    <definedName name="DatosExternos_2" localSheetId="2" hidden="1">Salario_sector_trim!$A$1:$C$81</definedName>
    <definedName name="DatosExternos_3" localSheetId="0" hidden="1">VAB_trim!$A$1:$D$87</definedName>
    <definedName name="DatosExternos_4" localSheetId="3" hidden="1">Salarios_Ind_Trim!$A$1:$B$85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9" l="1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14" i="2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2" i="5"/>
  <c r="Q15" i="2" l="1"/>
  <c r="Q16" i="2"/>
  <c r="Q18" i="2"/>
  <c r="Q19" i="2"/>
  <c r="Q21" i="2"/>
  <c r="Q22" i="2"/>
  <c r="Q24" i="2"/>
  <c r="Q25" i="2"/>
  <c r="Q27" i="2"/>
  <c r="Q28" i="2"/>
  <c r="Q30" i="2"/>
  <c r="Q31" i="2"/>
  <c r="Q33" i="2"/>
  <c r="Q34" i="2"/>
  <c r="Q36" i="2"/>
  <c r="Q37" i="2"/>
  <c r="Q39" i="2"/>
  <c r="Q40" i="2"/>
  <c r="Q42" i="2"/>
  <c r="Q43" i="2"/>
  <c r="Q45" i="2"/>
  <c r="Q46" i="2"/>
  <c r="Q48" i="2"/>
  <c r="Q49" i="2"/>
  <c r="Q51" i="2"/>
  <c r="Q52" i="2"/>
  <c r="Q54" i="2"/>
  <c r="Q55" i="2"/>
  <c r="Q57" i="2"/>
  <c r="Q58" i="2"/>
  <c r="Q60" i="2"/>
  <c r="Q61" i="2"/>
  <c r="Q63" i="2"/>
  <c r="Q64" i="2"/>
  <c r="Q66" i="2"/>
  <c r="Q67" i="2"/>
  <c r="Q69" i="2"/>
  <c r="Q70" i="2"/>
  <c r="Q72" i="2"/>
  <c r="Q73" i="2"/>
  <c r="Q75" i="2"/>
  <c r="Q76" i="2"/>
  <c r="Q78" i="2"/>
  <c r="Q79" i="2"/>
  <c r="Q81" i="2"/>
  <c r="Q82" i="2"/>
  <c r="Q84" i="2"/>
  <c r="Q85" i="2"/>
  <c r="Q87" i="2"/>
  <c r="Q88" i="2"/>
  <c r="Q90" i="2"/>
  <c r="Q91" i="2"/>
  <c r="Q93" i="2"/>
  <c r="Q94" i="2"/>
  <c r="Q96" i="2"/>
  <c r="Q97" i="2"/>
  <c r="Q99" i="2"/>
  <c r="Q100" i="2"/>
  <c r="Q102" i="2"/>
  <c r="Q103" i="2"/>
  <c r="Q105" i="2"/>
  <c r="Q106" i="2"/>
  <c r="Q108" i="2"/>
  <c r="Q109" i="2"/>
  <c r="Q111" i="2"/>
  <c r="Q112" i="2"/>
  <c r="Q114" i="2"/>
  <c r="Q115" i="2"/>
  <c r="Q117" i="2"/>
  <c r="Q118" i="2"/>
  <c r="Q120" i="2"/>
  <c r="Q121" i="2"/>
  <c r="Q123" i="2"/>
  <c r="Q124" i="2"/>
  <c r="Q126" i="2"/>
  <c r="Q127" i="2"/>
  <c r="Q129" i="2"/>
  <c r="Q130" i="2"/>
  <c r="Q132" i="2"/>
  <c r="Q133" i="2"/>
  <c r="Q135" i="2"/>
  <c r="Q136" i="2"/>
  <c r="Q138" i="2"/>
  <c r="Q139" i="2"/>
  <c r="Q141" i="2"/>
  <c r="Q142" i="2"/>
  <c r="Q144" i="2"/>
  <c r="Q145" i="2"/>
  <c r="Q147" i="2"/>
  <c r="Q148" i="2"/>
  <c r="Q150" i="2"/>
  <c r="Q151" i="2"/>
  <c r="Q153" i="2"/>
  <c r="Q154" i="2"/>
  <c r="Q156" i="2"/>
  <c r="Q157" i="2"/>
  <c r="Q159" i="2"/>
  <c r="Q160" i="2"/>
  <c r="Q162" i="2"/>
  <c r="Q163" i="2"/>
  <c r="Q165" i="2"/>
  <c r="Q166" i="2"/>
  <c r="Q168" i="2"/>
  <c r="Q169" i="2"/>
  <c r="Q171" i="2"/>
  <c r="Q172" i="2"/>
  <c r="Q174" i="2"/>
  <c r="Q175" i="2"/>
  <c r="Q177" i="2"/>
  <c r="Q178" i="2"/>
  <c r="Q180" i="2"/>
  <c r="Q181" i="2"/>
  <c r="Q183" i="2"/>
  <c r="Q184" i="2"/>
  <c r="Q186" i="2"/>
  <c r="Q187" i="2"/>
  <c r="Q189" i="2"/>
  <c r="Q190" i="2"/>
  <c r="Q192" i="2"/>
  <c r="Q193" i="2"/>
  <c r="Q195" i="2"/>
  <c r="Q196" i="2"/>
  <c r="Q198" i="2"/>
  <c r="Q199" i="2"/>
  <c r="Q201" i="2"/>
  <c r="Q202" i="2"/>
  <c r="Q204" i="2"/>
  <c r="Q205" i="2"/>
  <c r="Q207" i="2"/>
  <c r="Q208" i="2"/>
  <c r="Q210" i="2"/>
  <c r="Q211" i="2"/>
  <c r="Q213" i="2"/>
  <c r="Q214" i="2"/>
  <c r="Q216" i="2"/>
  <c r="Q217" i="2"/>
  <c r="K16" i="2"/>
  <c r="K18" i="2"/>
  <c r="K19" i="2"/>
  <c r="K21" i="2"/>
  <c r="K22" i="2"/>
  <c r="K24" i="2"/>
  <c r="K25" i="2"/>
  <c r="K27" i="2"/>
  <c r="K28" i="2"/>
  <c r="K30" i="2"/>
  <c r="K31" i="2"/>
  <c r="K33" i="2"/>
  <c r="K34" i="2"/>
  <c r="K36" i="2"/>
  <c r="K37" i="2"/>
  <c r="K39" i="2"/>
  <c r="K40" i="2"/>
  <c r="K42" i="2"/>
  <c r="K43" i="2"/>
  <c r="K45" i="2"/>
  <c r="K46" i="2"/>
  <c r="K48" i="2"/>
  <c r="K49" i="2"/>
  <c r="K51" i="2"/>
  <c r="K52" i="2"/>
  <c r="K54" i="2"/>
  <c r="K55" i="2"/>
  <c r="K57" i="2"/>
  <c r="K58" i="2"/>
  <c r="K60" i="2"/>
  <c r="K61" i="2"/>
  <c r="K63" i="2"/>
  <c r="K64" i="2"/>
  <c r="K66" i="2"/>
  <c r="K67" i="2"/>
  <c r="K69" i="2"/>
  <c r="K70" i="2"/>
  <c r="K72" i="2"/>
  <c r="K73" i="2"/>
  <c r="K75" i="2"/>
  <c r="K76" i="2"/>
  <c r="K78" i="2"/>
  <c r="K79" i="2"/>
  <c r="K81" i="2"/>
  <c r="K82" i="2"/>
  <c r="K84" i="2"/>
  <c r="K85" i="2"/>
  <c r="K87" i="2"/>
  <c r="K88" i="2"/>
  <c r="K90" i="2"/>
  <c r="K91" i="2"/>
  <c r="K93" i="2"/>
  <c r="K94" i="2"/>
  <c r="K96" i="2"/>
  <c r="K97" i="2"/>
  <c r="K99" i="2"/>
  <c r="K100" i="2"/>
  <c r="K102" i="2"/>
  <c r="K103" i="2"/>
  <c r="K105" i="2"/>
  <c r="K106" i="2"/>
  <c r="K108" i="2"/>
  <c r="K109" i="2"/>
  <c r="K111" i="2"/>
  <c r="K112" i="2"/>
  <c r="K114" i="2"/>
  <c r="K115" i="2"/>
  <c r="K117" i="2"/>
  <c r="K118" i="2"/>
  <c r="K120" i="2"/>
  <c r="K121" i="2"/>
  <c r="K123" i="2"/>
  <c r="K124" i="2"/>
  <c r="K126" i="2"/>
  <c r="K127" i="2"/>
  <c r="K129" i="2"/>
  <c r="K130" i="2"/>
  <c r="K132" i="2"/>
  <c r="K133" i="2"/>
  <c r="K135" i="2"/>
  <c r="K136" i="2"/>
  <c r="K138" i="2"/>
  <c r="K139" i="2"/>
  <c r="K141" i="2"/>
  <c r="K142" i="2"/>
  <c r="K144" i="2"/>
  <c r="K145" i="2"/>
  <c r="K147" i="2"/>
  <c r="K148" i="2"/>
  <c r="K150" i="2"/>
  <c r="K151" i="2"/>
  <c r="K153" i="2"/>
  <c r="K154" i="2"/>
  <c r="K156" i="2"/>
  <c r="K157" i="2"/>
  <c r="K159" i="2"/>
  <c r="K160" i="2"/>
  <c r="K162" i="2"/>
  <c r="K163" i="2"/>
  <c r="K165" i="2"/>
  <c r="K166" i="2"/>
  <c r="K168" i="2"/>
  <c r="K169" i="2"/>
  <c r="K171" i="2"/>
  <c r="K172" i="2"/>
  <c r="K174" i="2"/>
  <c r="K175" i="2"/>
  <c r="K177" i="2"/>
  <c r="K178" i="2"/>
  <c r="K180" i="2"/>
  <c r="K181" i="2"/>
  <c r="K15" i="2"/>
  <c r="D3" i="7"/>
  <c r="D4" i="7"/>
  <c r="D5" i="7"/>
  <c r="D6" i="7"/>
  <c r="D7" i="7"/>
  <c r="D8" i="7"/>
  <c r="D9" i="7"/>
  <c r="E9" i="7" s="1"/>
  <c r="D10" i="7"/>
  <c r="E10" i="7" s="1"/>
  <c r="D11" i="7"/>
  <c r="D12" i="7"/>
  <c r="D13" i="7"/>
  <c r="D14" i="7"/>
  <c r="D15" i="7"/>
  <c r="D16" i="7"/>
  <c r="D17" i="7"/>
  <c r="E17" i="7" s="1"/>
  <c r="D18" i="7"/>
  <c r="E18" i="7" s="1"/>
  <c r="D19" i="7"/>
  <c r="D20" i="7"/>
  <c r="D21" i="7"/>
  <c r="D22" i="7"/>
  <c r="D23" i="7"/>
  <c r="D24" i="7"/>
  <c r="D25" i="7"/>
  <c r="E25" i="7" s="1"/>
  <c r="D26" i="7"/>
  <c r="E26" i="7" s="1"/>
  <c r="D27" i="7"/>
  <c r="D28" i="7"/>
  <c r="D29" i="7"/>
  <c r="D30" i="7"/>
  <c r="D31" i="7"/>
  <c r="D32" i="7"/>
  <c r="D33" i="7"/>
  <c r="E33" i="7" s="1"/>
  <c r="D34" i="7"/>
  <c r="E34" i="7" s="1"/>
  <c r="D35" i="7"/>
  <c r="D36" i="7"/>
  <c r="D37" i="7"/>
  <c r="D38" i="7"/>
  <c r="D39" i="7"/>
  <c r="D40" i="7"/>
  <c r="D41" i="7"/>
  <c r="E41" i="7" s="1"/>
  <c r="D42" i="7"/>
  <c r="E42" i="7" s="1"/>
  <c r="D43" i="7"/>
  <c r="D44" i="7"/>
  <c r="D45" i="7"/>
  <c r="D46" i="7"/>
  <c r="D47" i="7"/>
  <c r="D48" i="7"/>
  <c r="D49" i="7"/>
  <c r="E49" i="7" s="1"/>
  <c r="D50" i="7"/>
  <c r="E50" i="7" s="1"/>
  <c r="D51" i="7"/>
  <c r="D52" i="7"/>
  <c r="D53" i="7"/>
  <c r="D54" i="7"/>
  <c r="D55" i="7"/>
  <c r="D2" i="7"/>
  <c r="E2" i="7" s="1"/>
  <c r="J2" i="9"/>
  <c r="C79" i="9"/>
  <c r="C82" i="9"/>
  <c r="C85" i="9"/>
  <c r="C88" i="9"/>
  <c r="C91" i="9"/>
  <c r="C94" i="9"/>
  <c r="C97" i="9"/>
  <c r="C100" i="9"/>
  <c r="C103" i="9"/>
  <c r="C106" i="9"/>
  <c r="C109" i="9"/>
  <c r="C112" i="9"/>
  <c r="C115" i="9"/>
  <c r="C118" i="9"/>
  <c r="C121" i="9"/>
  <c r="C124" i="9"/>
  <c r="C127" i="9"/>
  <c r="C130" i="9"/>
  <c r="C133" i="9"/>
  <c r="C136" i="9"/>
  <c r="C139" i="9"/>
  <c r="C142" i="9"/>
  <c r="C145" i="9"/>
  <c r="C148" i="9"/>
  <c r="C151" i="9"/>
  <c r="C154" i="9"/>
  <c r="C157" i="9"/>
  <c r="C160" i="9"/>
  <c r="C163" i="9"/>
  <c r="C166" i="9"/>
  <c r="C169" i="9"/>
  <c r="C172" i="9"/>
  <c r="C175" i="9"/>
  <c r="C178" i="9"/>
  <c r="C181" i="9"/>
  <c r="C184" i="9"/>
  <c r="C187" i="9"/>
  <c r="C190" i="9"/>
  <c r="C193" i="9"/>
  <c r="C196" i="9"/>
  <c r="C199" i="9"/>
  <c r="C202" i="9"/>
  <c r="C205" i="9"/>
  <c r="C208" i="9"/>
  <c r="C211" i="9"/>
  <c r="C214" i="9"/>
  <c r="C217" i="9"/>
  <c r="C220" i="9"/>
  <c r="C223" i="9"/>
  <c r="C226" i="9"/>
  <c r="C229" i="9"/>
  <c r="C232" i="9"/>
  <c r="C235" i="9"/>
  <c r="C238" i="9"/>
  <c r="C241" i="9"/>
  <c r="E4" i="7"/>
  <c r="E5" i="7"/>
  <c r="E6" i="7"/>
  <c r="E7" i="7"/>
  <c r="E8" i="7"/>
  <c r="E11" i="7"/>
  <c r="E12" i="7"/>
  <c r="E13" i="7"/>
  <c r="E14" i="7"/>
  <c r="E15" i="7"/>
  <c r="E16" i="7"/>
  <c r="E19" i="7"/>
  <c r="E20" i="7"/>
  <c r="E21" i="7"/>
  <c r="E22" i="7"/>
  <c r="E23" i="7"/>
  <c r="E24" i="7"/>
  <c r="E27" i="7"/>
  <c r="E28" i="7"/>
  <c r="E29" i="7"/>
  <c r="E30" i="7"/>
  <c r="E31" i="7"/>
  <c r="E32" i="7"/>
  <c r="E35" i="7"/>
  <c r="E36" i="7"/>
  <c r="E37" i="7"/>
  <c r="E38" i="7"/>
  <c r="E39" i="7"/>
  <c r="E40" i="7"/>
  <c r="E43" i="7"/>
  <c r="E44" i="7"/>
  <c r="E45" i="7"/>
  <c r="E46" i="7"/>
  <c r="E47" i="7"/>
  <c r="E48" i="7"/>
  <c r="E51" i="7"/>
  <c r="E52" i="7"/>
  <c r="E53" i="7"/>
  <c r="E54" i="7"/>
  <c r="E55" i="7"/>
  <c r="E3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Q23" i="2"/>
  <c r="Q215" i="2"/>
  <c r="Q38" i="2"/>
  <c r="Q56" i="2"/>
  <c r="Q50" i="2"/>
  <c r="Q65" i="2"/>
  <c r="Q179" i="2"/>
  <c r="Q188" i="2"/>
  <c r="Q173" i="2"/>
  <c r="K128" i="2"/>
  <c r="K77" i="2"/>
  <c r="K41" i="2"/>
  <c r="K68" i="2"/>
  <c r="K143" i="2"/>
  <c r="K170" i="2"/>
  <c r="K23" i="2"/>
  <c r="Q47" i="2"/>
  <c r="Q98" i="2"/>
  <c r="Q62" i="2"/>
  <c r="Q80" i="2"/>
  <c r="Q74" i="2"/>
  <c r="Q89" i="2"/>
  <c r="Q20" i="2"/>
  <c r="Q212" i="2"/>
  <c r="Q197" i="2"/>
  <c r="K152" i="2"/>
  <c r="K101" i="2"/>
  <c r="K65" i="2"/>
  <c r="K92" i="2"/>
  <c r="K167" i="2"/>
  <c r="K35" i="2"/>
  <c r="K47" i="2"/>
  <c r="Q182" i="2"/>
  <c r="K176" i="2"/>
  <c r="K125" i="2"/>
  <c r="K89" i="2"/>
  <c r="K116" i="2"/>
  <c r="K26" i="2"/>
  <c r="K59" i="2"/>
  <c r="K119" i="2"/>
  <c r="Q95" i="2"/>
  <c r="Q110" i="2"/>
  <c r="Q59" i="2"/>
  <c r="Q68" i="2"/>
  <c r="Q53" i="2"/>
  <c r="Q14" i="2"/>
  <c r="K131" i="2"/>
  <c r="K149" i="2"/>
  <c r="K113" i="2"/>
  <c r="K140" i="2"/>
  <c r="K50" i="2"/>
  <c r="K83" i="2"/>
  <c r="K14" i="2"/>
  <c r="K32" i="2"/>
  <c r="K173" i="2"/>
  <c r="K164" i="2"/>
  <c r="K107" i="2"/>
  <c r="Q143" i="2"/>
  <c r="Q203" i="2"/>
  <c r="Q116" i="2"/>
  <c r="K179" i="2"/>
  <c r="K110" i="2"/>
  <c r="K98" i="2"/>
  <c r="Q83" i="2"/>
  <c r="Q200" i="2"/>
  <c r="Q17" i="2"/>
  <c r="Q209" i="2"/>
  <c r="Q140" i="2"/>
  <c r="Q125" i="2"/>
  <c r="K80" i="2"/>
  <c r="K29" i="2"/>
  <c r="K134" i="2"/>
  <c r="K20" i="2"/>
  <c r="K71" i="2"/>
  <c r="K62" i="2"/>
  <c r="Q71" i="2"/>
  <c r="Q122" i="2"/>
  <c r="Q86" i="2"/>
  <c r="Q104" i="2"/>
  <c r="Q146" i="2"/>
  <c r="Q113" i="2"/>
  <c r="Q44" i="2"/>
  <c r="Q29" i="2"/>
  <c r="Q170" i="2"/>
  <c r="Q128" i="2"/>
  <c r="Q137" i="2"/>
  <c r="Q35" i="2"/>
  <c r="Q176" i="2"/>
  <c r="Q185" i="2"/>
  <c r="K56" i="2"/>
  <c r="K161" i="2"/>
  <c r="K38" i="2"/>
  <c r="Q167" i="2"/>
  <c r="Q206" i="2"/>
  <c r="Q191" i="2"/>
  <c r="Q32" i="2"/>
  <c r="Q41" i="2"/>
  <c r="Q164" i="2"/>
  <c r="K104" i="2"/>
  <c r="K17" i="2"/>
  <c r="K44" i="2"/>
  <c r="K146" i="2"/>
  <c r="Q119" i="2"/>
  <c r="Q194" i="2"/>
  <c r="Q134" i="2"/>
  <c r="Q152" i="2"/>
  <c r="Q131" i="2"/>
  <c r="Q161" i="2"/>
  <c r="Q92" i="2"/>
  <c r="Q77" i="2"/>
  <c r="K155" i="2"/>
  <c r="K137" i="2"/>
  <c r="K74" i="2"/>
  <c r="Q158" i="2"/>
  <c r="Q101" i="2"/>
  <c r="K158" i="2"/>
  <c r="K122" i="2"/>
  <c r="Q155" i="2"/>
  <c r="Q26" i="2"/>
  <c r="Q107" i="2"/>
  <c r="Q149" i="2"/>
  <c r="K53" i="2"/>
  <c r="K95" i="2"/>
  <c r="K86" i="2"/>
  <c r="M88" i="5" l="1"/>
  <c r="M96" i="5"/>
  <c r="M104" i="5"/>
  <c r="M112" i="5"/>
  <c r="M120" i="5"/>
  <c r="M128" i="5"/>
  <c r="M136" i="5"/>
  <c r="M144" i="5"/>
  <c r="M152" i="5"/>
  <c r="M160" i="5"/>
  <c r="M168" i="5"/>
  <c r="M176" i="5"/>
  <c r="M184" i="5"/>
  <c r="M192" i="5"/>
  <c r="M200" i="5"/>
  <c r="M208" i="5"/>
  <c r="M216" i="5"/>
  <c r="M224" i="5"/>
  <c r="M232" i="5"/>
  <c r="M240" i="5"/>
  <c r="M248" i="5"/>
  <c r="M256" i="5"/>
  <c r="M264" i="5"/>
  <c r="M272" i="5"/>
  <c r="M280" i="5"/>
  <c r="M288" i="5"/>
  <c r="M296" i="5"/>
  <c r="M304" i="5"/>
  <c r="M91" i="5"/>
  <c r="M99" i="5"/>
  <c r="M107" i="5"/>
  <c r="M115" i="5"/>
  <c r="M123" i="5"/>
  <c r="M131" i="5"/>
  <c r="M147" i="5"/>
  <c r="M155" i="5"/>
  <c r="M163" i="5"/>
  <c r="M171" i="5"/>
  <c r="M179" i="5"/>
  <c r="M187" i="5"/>
  <c r="M195" i="5"/>
  <c r="M211" i="5"/>
  <c r="M219" i="5"/>
  <c r="M227" i="5"/>
  <c r="M235" i="5"/>
  <c r="M251" i="5"/>
  <c r="M259" i="5"/>
  <c r="M275" i="5"/>
  <c r="M291" i="5"/>
  <c r="M307" i="5"/>
  <c r="M92" i="5"/>
  <c r="M108" i="5"/>
  <c r="M124" i="5"/>
  <c r="M140" i="5"/>
  <c r="M156" i="5"/>
  <c r="M172" i="5"/>
  <c r="M188" i="5"/>
  <c r="M204" i="5"/>
  <c r="M220" i="5"/>
  <c r="M236" i="5"/>
  <c r="M252" i="5"/>
  <c r="M268" i="5"/>
  <c r="M284" i="5"/>
  <c r="M89" i="5"/>
  <c r="M97" i="5"/>
  <c r="M105" i="5"/>
  <c r="M113" i="5"/>
  <c r="M121" i="5"/>
  <c r="M129" i="5"/>
  <c r="M137" i="5"/>
  <c r="M145" i="5"/>
  <c r="M153" i="5"/>
  <c r="M161" i="5"/>
  <c r="M169" i="5"/>
  <c r="M177" i="5"/>
  <c r="M185" i="5"/>
  <c r="M193" i="5"/>
  <c r="M201" i="5"/>
  <c r="M209" i="5"/>
  <c r="M217" i="5"/>
  <c r="M225" i="5"/>
  <c r="M233" i="5"/>
  <c r="M241" i="5"/>
  <c r="M249" i="5"/>
  <c r="M257" i="5"/>
  <c r="M265" i="5"/>
  <c r="M273" i="5"/>
  <c r="M281" i="5"/>
  <c r="M289" i="5"/>
  <c r="M297" i="5"/>
  <c r="M305" i="5"/>
  <c r="M203" i="5"/>
  <c r="M243" i="5"/>
  <c r="M267" i="5"/>
  <c r="M283" i="5"/>
  <c r="M299" i="5"/>
  <c r="M90" i="5"/>
  <c r="M98" i="5"/>
  <c r="M106" i="5"/>
  <c r="M114" i="5"/>
  <c r="M122" i="5"/>
  <c r="M130" i="5"/>
  <c r="M138" i="5"/>
  <c r="M146" i="5"/>
  <c r="M154" i="5"/>
  <c r="M162" i="5"/>
  <c r="M170" i="5"/>
  <c r="M178" i="5"/>
  <c r="M186" i="5"/>
  <c r="M194" i="5"/>
  <c r="M202" i="5"/>
  <c r="M210" i="5"/>
  <c r="M218" i="5"/>
  <c r="M226" i="5"/>
  <c r="M234" i="5"/>
  <c r="M242" i="5"/>
  <c r="M250" i="5"/>
  <c r="M258" i="5"/>
  <c r="M266" i="5"/>
  <c r="M274" i="5"/>
  <c r="M282" i="5"/>
  <c r="M290" i="5"/>
  <c r="M298" i="5"/>
  <c r="M306" i="5"/>
  <c r="M139" i="5"/>
  <c r="M100" i="5"/>
  <c r="M116" i="5"/>
  <c r="M132" i="5"/>
  <c r="M148" i="5"/>
  <c r="M164" i="5"/>
  <c r="M180" i="5"/>
  <c r="M196" i="5"/>
  <c r="M212" i="5"/>
  <c r="M228" i="5"/>
  <c r="M244" i="5"/>
  <c r="M260" i="5"/>
  <c r="M276" i="5"/>
  <c r="M292" i="5"/>
  <c r="M85" i="5"/>
  <c r="M103" i="5"/>
  <c r="M126" i="5"/>
  <c r="M149" i="5"/>
  <c r="M167" i="5"/>
  <c r="M190" i="5"/>
  <c r="M213" i="5"/>
  <c r="M231" i="5"/>
  <c r="M254" i="5"/>
  <c r="M277" i="5"/>
  <c r="M295" i="5"/>
  <c r="M142" i="5"/>
  <c r="M206" i="5"/>
  <c r="M247" i="5"/>
  <c r="M293" i="5"/>
  <c r="M86" i="5"/>
  <c r="M109" i="5"/>
  <c r="M127" i="5"/>
  <c r="M150" i="5"/>
  <c r="M173" i="5"/>
  <c r="M191" i="5"/>
  <c r="M214" i="5"/>
  <c r="M237" i="5"/>
  <c r="M255" i="5"/>
  <c r="M278" i="5"/>
  <c r="M300" i="5"/>
  <c r="M94" i="5"/>
  <c r="M117" i="5"/>
  <c r="M135" i="5"/>
  <c r="M158" i="5"/>
  <c r="M181" i="5"/>
  <c r="M199" i="5"/>
  <c r="M222" i="5"/>
  <c r="M245" i="5"/>
  <c r="M263" i="5"/>
  <c r="M286" i="5"/>
  <c r="M303" i="5"/>
  <c r="M101" i="5"/>
  <c r="M119" i="5"/>
  <c r="M165" i="5"/>
  <c r="M183" i="5"/>
  <c r="M229" i="5"/>
  <c r="M87" i="5"/>
  <c r="M110" i="5"/>
  <c r="M133" i="5"/>
  <c r="M151" i="5"/>
  <c r="M174" i="5"/>
  <c r="M197" i="5"/>
  <c r="M215" i="5"/>
  <c r="M238" i="5"/>
  <c r="M261" i="5"/>
  <c r="M279" i="5"/>
  <c r="M301" i="5"/>
  <c r="M93" i="5"/>
  <c r="M111" i="5"/>
  <c r="M134" i="5"/>
  <c r="M157" i="5"/>
  <c r="M175" i="5"/>
  <c r="M198" i="5"/>
  <c r="M221" i="5"/>
  <c r="M239" i="5"/>
  <c r="M262" i="5"/>
  <c r="M285" i="5"/>
  <c r="M302" i="5"/>
  <c r="M95" i="5"/>
  <c r="M118" i="5"/>
  <c r="M141" i="5"/>
  <c r="M159" i="5"/>
  <c r="M182" i="5"/>
  <c r="M205" i="5"/>
  <c r="M223" i="5"/>
  <c r="M246" i="5"/>
  <c r="M269" i="5"/>
  <c r="M287" i="5"/>
  <c r="M270" i="5"/>
  <c r="M102" i="5"/>
  <c r="M125" i="5"/>
  <c r="M143" i="5"/>
  <c r="M166" i="5"/>
  <c r="M189" i="5"/>
  <c r="M207" i="5"/>
  <c r="M230" i="5"/>
  <c r="M253" i="5"/>
  <c r="M271" i="5"/>
  <c r="M29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E2D82-60C0-4ECC-A6A3-777225F2DD0B}" keepAlive="1" name="Consulta - Puesto_desest_trim" description="Conexión a la consulta 'Puesto_desest_trim' en el libro." type="5" refreshedVersion="8" background="1" saveData="1">
    <dbPr connection="Provider=Microsoft.Mashup.OleDb.1;Data Source=$Workbook$;Location=Puesto_desest_trim;Extended Properties=&quot;&quot;" command="SELECT * FROM [Puesto_desest_trim]"/>
  </connection>
  <connection id="2" xr16:uid="{2721E69A-0B57-46F9-9061-ED48143576CA}" keepAlive="1" name="Consulta - Salario_sector_trim" description="Conexión a la consulta 'Salario_sector_trim' en el libro." type="5" refreshedVersion="8" background="1" saveData="1">
    <dbPr connection="Provider=Microsoft.Mashup.OleDb.1;Data Source=$Workbook$;Location=Salario_sector_trim;Extended Properties=&quot;&quot;" command="SELECT * FROM [Salario_sector_trim]"/>
  </connection>
  <connection id="3" xr16:uid="{8CE00989-2841-4DD2-85EF-4EE6A7CD1483}" keepAlive="1" name="Consulta - VAB_trim" description="Conexión a la consulta 'VAB_trim' en el libro." type="5" refreshedVersion="8" background="1" saveData="1">
    <dbPr connection="Provider=Microsoft.Mashup.OleDb.1;Data Source=$Workbook$;Location=VAB_trim;Extended Properties=&quot;&quot;" command="SELECT * FROM [VAB_trim]"/>
  </connection>
  <connection id="4" xr16:uid="{4091B641-4FA0-409F-A4EC-2029AC9883C4}" keepAlive="1" name="Consulta - VAB_trim (2)" description="Conexión a la consulta 'VAB_trim (2)' en el libro." type="5" refreshedVersion="8" background="1" saveData="1">
    <dbPr connection="Provider=Microsoft.Mashup.OleDb.1;Data Source=$Workbook$;Location=&quot;VAB_trim (2)&quot;;Extended Properties=&quot;&quot;" command="SELECT * FROM [VAB_trim (2)]"/>
  </connection>
</connections>
</file>

<file path=xl/sharedStrings.xml><?xml version="1.0" encoding="utf-8"?>
<sst xmlns="http://schemas.openxmlformats.org/spreadsheetml/2006/main" count="157" uniqueCount="51">
  <si>
    <t>Fecha</t>
  </si>
  <si>
    <t>VAB Sector Público</t>
  </si>
  <si>
    <t>VAB Sector Privado</t>
  </si>
  <si>
    <t>VAB Industria Manufacturera</t>
  </si>
  <si>
    <t>VAB General</t>
  </si>
  <si>
    <t>Salarios_Reales_Totales_Trim</t>
  </si>
  <si>
    <t>Sector Privado</t>
  </si>
  <si>
    <t>Sector Público</t>
  </si>
  <si>
    <t>Salarios_Ind_Trim</t>
  </si>
  <si>
    <t xml:space="preserve">Puestos_sector_privado </t>
  </si>
  <si>
    <t>Puestos_sector_publico TRIMESTRAL</t>
  </si>
  <si>
    <t>Puestos_Industria</t>
  </si>
  <si>
    <t>Puestos_Comercio</t>
  </si>
  <si>
    <t>Puestos_Transporte</t>
  </si>
  <si>
    <t>Puestos_Acts_Inmob</t>
  </si>
  <si>
    <t>Puestos_Total</t>
  </si>
  <si>
    <t>IPC empalmado</t>
  </si>
  <si>
    <t>IPC trim</t>
  </si>
  <si>
    <t>Primer Trimestre</t>
  </si>
  <si>
    <t>Segundo Trimestre</t>
  </si>
  <si>
    <t>Tercer Trimestre</t>
  </si>
  <si>
    <t>Cuarto Trimestre</t>
  </si>
  <si>
    <t>Salarios_Totales_Trim</t>
  </si>
  <si>
    <t>IPC base 100 2012Q1</t>
  </si>
  <si>
    <t>Meses</t>
  </si>
  <si>
    <t>Base abr2012 =100</t>
  </si>
  <si>
    <t>Base oct2016 =100</t>
  </si>
  <si>
    <t>Jota de Joaco</t>
  </si>
  <si>
    <t>Años (Meses)</t>
  </si>
  <si>
    <t>Trimestres (Meses)</t>
  </si>
  <si>
    <t>Promedio de Base oct2016 =100</t>
  </si>
  <si>
    <t>2012</t>
  </si>
  <si>
    <t>Trim.1</t>
  </si>
  <si>
    <t>Trim.2</t>
  </si>
  <si>
    <t>Trim.3</t>
  </si>
  <si>
    <t>Trim.4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</si>
  <si>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</si>
  <si>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</si>
  <si>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</si>
  <si>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</si>
  <si>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</si>
  <si>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</si>
  <si>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</si>
  <si>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</si>
  <si>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</si>
  <si>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</si>
  <si>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</si>
  <si>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</si>
  <si>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</si>
  <si>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 general</t>
  </si>
  <si>
    <t>Salario_Ind_pesos_Dic_2004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</si>
</sst>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"/>
    <numFmt numFmtId="165" formatCode="#,##0.0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4"/>
      <color theme="4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rgb="FFDDEBF7"/>
      </patternFill>
    </fill>
  </fills>
  <borders count="1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3" tint="-0.249977111117893"/>
      </right>
      <top/>
      <bottom/>
      <diagonal/>
    </border>
    <border>
      <left/>
      <right style="thin">
        <color theme="3" tint="-0.249977111117893"/>
      </right>
      <top style="hair">
        <color theme="3" tint="-0.249977111117893"/>
      </top>
      <bottom style="hair">
        <color theme="3" tint="-0.249977111117893"/>
      </bottom>
      <diagonal/>
    </border>
    <border>
      <left/>
      <right style="thin">
        <color theme="3" tint="-0.249977111117893"/>
      </right>
      <top style="hair">
        <color theme="3" tint="-0.249977111117893"/>
      </top>
      <bottom/>
      <diagonal/>
    </border>
    <border>
      <left/>
      <right style="thin">
        <color theme="3" tint="-0.249977111117893"/>
      </right>
      <top style="hair">
        <color theme="3" tint="-0.24997711111789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6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1" xfId="0" applyFill="1" applyBorder="1"/>
    <xf numFmtId="0" fontId="0" fillId="0" borderId="1" xfId="0" applyBorder="1"/>
    <xf numFmtId="17" fontId="2" fillId="3" borderId="2" xfId="1" applyNumberFormat="1" applyFont="1" applyFill="1" applyBorder="1"/>
    <xf numFmtId="17" fontId="2" fillId="3" borderId="3" xfId="1" applyNumberFormat="1" applyFont="1" applyFill="1" applyBorder="1"/>
    <xf numFmtId="17" fontId="2" fillId="3" borderId="4" xfId="1" applyNumberFormat="1" applyFont="1" applyFill="1" applyBorder="1"/>
    <xf numFmtId="2" fontId="2" fillId="3" borderId="5" xfId="1" applyNumberFormat="1" applyFont="1" applyFill="1" applyBorder="1"/>
    <xf numFmtId="2" fontId="2" fillId="3" borderId="6" xfId="1" applyNumberFormat="1" applyFont="1" applyFill="1" applyBorder="1"/>
    <xf numFmtId="4" fontId="0" fillId="0" borderId="5" xfId="0" applyNumberFormat="1" applyBorder="1"/>
    <xf numFmtId="0" fontId="0" fillId="0" borderId="0" xfId="0" pivotButton="1"/>
    <xf numFmtId="14" fontId="0" fillId="0" borderId="7" xfId="0" applyNumberFormat="1" applyBorder="1"/>
    <xf numFmtId="14" fontId="0" fillId="4" borderId="7" xfId="0" applyNumberFormat="1" applyFill="1" applyBorder="1"/>
    <xf numFmtId="2" fontId="0" fillId="0" borderId="0" xfId="0" applyNumberFormat="1"/>
    <xf numFmtId="0" fontId="3" fillId="0" borderId="0" xfId="0" applyFont="1"/>
    <xf numFmtId="0" fontId="4" fillId="0" borderId="8" xfId="0" applyFont="1" applyBorder="1"/>
    <xf numFmtId="14" fontId="4" fillId="0" borderId="9" xfId="0" applyNumberFormat="1" applyFont="1" applyBorder="1"/>
    <xf numFmtId="0" fontId="4" fillId="5" borderId="8" xfId="0" applyFont="1" applyFill="1" applyBorder="1"/>
    <xf numFmtId="14" fontId="4" fillId="5" borderId="9" xfId="0" applyNumberFormat="1" applyFont="1" applyFill="1" applyBorder="1"/>
    <xf numFmtId="0" fontId="4" fillId="0" borderId="0" xfId="0" applyFont="1"/>
    <xf numFmtId="0" fontId="0" fillId="4" borderId="10" xfId="0" applyFill="1" applyBorder="1"/>
    <xf numFmtId="0" fontId="0" fillId="0" borderId="10" xfId="0" applyBorder="1"/>
    <xf numFmtId="0" fontId="5" fillId="0" borderId="11" xfId="0" applyFont="1" applyBorder="1"/>
    <xf numFmtId="165" fontId="7" fillId="6" borderId="12" xfId="0" applyNumberFormat="1" applyFont="1" applyFill="1" applyBorder="1" applyAlignment="1">
      <alignment horizontal="center" vertical="center"/>
    </xf>
    <xf numFmtId="165" fontId="7" fillId="6" borderId="13" xfId="0" applyNumberFormat="1" applyFont="1" applyFill="1" applyBorder="1" applyAlignment="1">
      <alignment horizontal="center" vertical="center"/>
    </xf>
    <xf numFmtId="165" fontId="7" fillId="6" borderId="14" xfId="0" applyNumberFormat="1" applyFont="1" applyFill="1" applyBorder="1" applyAlignment="1">
      <alignment horizontal="center" vertical="center"/>
    </xf>
    <xf numFmtId="165" fontId="7" fillId="7" borderId="15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165" fontId="7" fillId="6" borderId="16" xfId="3" applyNumberFormat="1" applyFont="1" applyFill="1" applyBorder="1" applyAlignment="1">
      <alignment horizontal="center"/>
    </xf>
    <xf numFmtId="165" fontId="7" fillId="6" borderId="17" xfId="3" applyNumberFormat="1" applyFont="1" applyFill="1" applyBorder="1" applyAlignment="1">
      <alignment horizontal="center"/>
    </xf>
    <xf numFmtId="165" fontId="7" fillId="7" borderId="18" xfId="3" applyNumberFormat="1" applyFont="1" applyFill="1" applyBorder="1" applyAlignment="1">
      <alignment horizontal="center"/>
    </xf>
    <xf numFmtId="166" fontId="0" fillId="0" borderId="0" xfId="2" applyNumberFormat="1" applyFont="1"/>
    <xf numFmtId="17" fontId="5" fillId="8" borderId="0" xfId="0" applyNumberFormat="1" applyFont="1" applyFill="1"/>
    <xf numFmtId="17" fontId="5" fillId="0" borderId="0" xfId="0" applyNumberFormat="1" applyFont="1"/>
    <xf numFmtId="3" fontId="5" fillId="8" borderId="0" xfId="0" applyNumberFormat="1" applyFont="1" applyFill="1"/>
    <xf numFmtId="3" fontId="5" fillId="0" borderId="0" xfId="0" applyNumberFormat="1" applyFont="1"/>
  </cellXfs>
  <cellStyles count="4">
    <cellStyle name="Millares" xfId="2" builtinId="3"/>
    <cellStyle name="Normal" xfId="0" builtinId="0"/>
    <cellStyle name="Normal 2" xfId="1" xr:uid="{1765417F-0A6D-4A38-9A5F-C99A6DEB2222}"/>
    <cellStyle name="Normal 2 3 3" xfId="3" xr:uid="{98EB2990-912E-4C51-A66C-EC2BCC67C255}"/>
  </cellStyles>
  <dxfs count="14">
    <dxf>
      <numFmt numFmtId="4" formatCode="#,##0.0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2" formatCode="mmm\-yy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_-* #,##0_-;\-* #,##0_-;_-* &quot;-&quot;??_-;_-@_-"/>
    </dxf>
    <dxf>
      <numFmt numFmtId="3" formatCode="#,##0"/>
    </dxf>
    <dxf>
      <numFmt numFmtId="3" formatCode="#,##0"/>
    </dxf>
    <dxf>
      <numFmt numFmtId="164" formatCode="dd/mm/yyyy"/>
    </dxf>
    <dxf>
      <numFmt numFmtId="164" formatCode="dd/mm/yyyy"/>
    </dxf>
    <dxf>
      <numFmt numFmtId="164" formatCode="dd/mm/yyyy"/>
    </dxf>
    <dxf>
      <numFmt numFmtId="19" formatCode="d/m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Salarios_Total_General!$B$1</c:f>
              <c:strCache>
                <c:ptCount val="1"/>
                <c:pt idx="0">
                  <c:v>Salarios_Reales_Totales_Trim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numRef>
              <c:f>Salarios_Total_General!$A$2:$A$55</c:f>
              <c:numCache>
                <c:formatCode>m/d/yyyy</c:formatCode>
                <c:ptCount val="54"/>
                <c:pt idx="0">
                  <c:v>40999</c:v>
                </c:pt>
                <c:pt idx="1">
                  <c:v>41090</c:v>
                </c:pt>
                <c:pt idx="2">
                  <c:v>41182</c:v>
                </c:pt>
                <c:pt idx="3">
                  <c:v>41274</c:v>
                </c:pt>
                <c:pt idx="4">
                  <c:v>41364</c:v>
                </c:pt>
                <c:pt idx="5">
                  <c:v>41455</c:v>
                </c:pt>
                <c:pt idx="6">
                  <c:v>41547</c:v>
                </c:pt>
                <c:pt idx="7">
                  <c:v>41639</c:v>
                </c:pt>
                <c:pt idx="8">
                  <c:v>41729</c:v>
                </c:pt>
                <c:pt idx="9">
                  <c:v>41820</c:v>
                </c:pt>
                <c:pt idx="10">
                  <c:v>41912</c:v>
                </c:pt>
                <c:pt idx="11">
                  <c:v>42004</c:v>
                </c:pt>
                <c:pt idx="12">
                  <c:v>42094</c:v>
                </c:pt>
                <c:pt idx="13">
                  <c:v>42185</c:v>
                </c:pt>
                <c:pt idx="14">
                  <c:v>42277</c:v>
                </c:pt>
                <c:pt idx="15">
                  <c:v>42369</c:v>
                </c:pt>
                <c:pt idx="16">
                  <c:v>42460</c:v>
                </c:pt>
                <c:pt idx="17">
                  <c:v>42551</c:v>
                </c:pt>
                <c:pt idx="18">
                  <c:v>42643</c:v>
                </c:pt>
                <c:pt idx="19">
                  <c:v>42735</c:v>
                </c:pt>
                <c:pt idx="20">
                  <c:v>42825</c:v>
                </c:pt>
                <c:pt idx="21">
                  <c:v>42916</c:v>
                </c:pt>
                <c:pt idx="22">
                  <c:v>43008</c:v>
                </c:pt>
                <c:pt idx="23">
                  <c:v>43100</c:v>
                </c:pt>
                <c:pt idx="24">
                  <c:v>43190</c:v>
                </c:pt>
                <c:pt idx="25">
                  <c:v>43281</c:v>
                </c:pt>
                <c:pt idx="26">
                  <c:v>43373</c:v>
                </c:pt>
                <c:pt idx="27">
                  <c:v>43465</c:v>
                </c:pt>
                <c:pt idx="28">
                  <c:v>43555</c:v>
                </c:pt>
                <c:pt idx="29">
                  <c:v>43646</c:v>
                </c:pt>
                <c:pt idx="30">
                  <c:v>43738</c:v>
                </c:pt>
                <c:pt idx="31">
                  <c:v>43830</c:v>
                </c:pt>
                <c:pt idx="32">
                  <c:v>43921</c:v>
                </c:pt>
                <c:pt idx="33">
                  <c:v>44012</c:v>
                </c:pt>
                <c:pt idx="34">
                  <c:v>44104</c:v>
                </c:pt>
                <c:pt idx="35">
                  <c:v>44196</c:v>
                </c:pt>
                <c:pt idx="36">
                  <c:v>44286</c:v>
                </c:pt>
                <c:pt idx="37">
                  <c:v>44377</c:v>
                </c:pt>
                <c:pt idx="38">
                  <c:v>44469</c:v>
                </c:pt>
                <c:pt idx="39">
                  <c:v>44561</c:v>
                </c:pt>
                <c:pt idx="40">
                  <c:v>44651</c:v>
                </c:pt>
                <c:pt idx="41">
                  <c:v>44742</c:v>
                </c:pt>
                <c:pt idx="42">
                  <c:v>44834</c:v>
                </c:pt>
                <c:pt idx="43">
                  <c:v>44926</c:v>
                </c:pt>
                <c:pt idx="44">
                  <c:v>45016</c:v>
                </c:pt>
                <c:pt idx="45">
                  <c:v>45107</c:v>
                </c:pt>
                <c:pt idx="46">
                  <c:v>45199</c:v>
                </c:pt>
                <c:pt idx="47">
                  <c:v>45291</c:v>
                </c:pt>
                <c:pt idx="48">
                  <c:v>45382</c:v>
                </c:pt>
                <c:pt idx="49">
                  <c:v>45473</c:v>
                </c:pt>
                <c:pt idx="50">
                  <c:v>45565</c:v>
                </c:pt>
                <c:pt idx="51">
                  <c:v>45657</c:v>
                </c:pt>
                <c:pt idx="52">
                  <c:v>45747</c:v>
                </c:pt>
                <c:pt idx="53">
                  <c:v>45838</c:v>
                </c:pt>
              </c:numCache>
            </c:numRef>
          </c:cat>
          <c:val>
            <c:numRef>
              <c:f>Salarios_Total_General!$B$2:$B$55</c:f>
              <c:numCache>
                <c:formatCode>General</c:formatCode>
                <c:ptCount val="54"/>
                <c:pt idx="0">
                  <c:v>100</c:v>
                </c:pt>
                <c:pt idx="1">
                  <c:v>100.15118422009741</c:v>
                </c:pt>
                <c:pt idx="2">
                  <c:v>101.35478880191728</c:v>
                </c:pt>
                <c:pt idx="3">
                  <c:v>101.77181763716818</c:v>
                </c:pt>
                <c:pt idx="4">
                  <c:v>99.863436377811595</c:v>
                </c:pt>
                <c:pt idx="5">
                  <c:v>100.97326151344515</c:v>
                </c:pt>
                <c:pt idx="6">
                  <c:v>101.50670159619173</c:v>
                </c:pt>
                <c:pt idx="7">
                  <c:v>98.874001842338942</c:v>
                </c:pt>
                <c:pt idx="8">
                  <c:v>91.939254371068799</c:v>
                </c:pt>
                <c:pt idx="9">
                  <c:v>93.063002164418648</c:v>
                </c:pt>
                <c:pt idx="10">
                  <c:v>94.753743698245202</c:v>
                </c:pt>
                <c:pt idx="11">
                  <c:v>93.989291295830085</c:v>
                </c:pt>
                <c:pt idx="12">
                  <c:v>94.002496343115951</c:v>
                </c:pt>
                <c:pt idx="13">
                  <c:v>95.487384497393862</c:v>
                </c:pt>
                <c:pt idx="14">
                  <c:v>98.897881548089444</c:v>
                </c:pt>
                <c:pt idx="15">
                  <c:v>96.718663328046802</c:v>
                </c:pt>
                <c:pt idx="16">
                  <c:v>90.285536899640974</c:v>
                </c:pt>
                <c:pt idx="17">
                  <c:v>90.344502755599947</c:v>
                </c:pt>
                <c:pt idx="18">
                  <c:v>93.191876935060407</c:v>
                </c:pt>
                <c:pt idx="19">
                  <c:v>94.32044015540167</c:v>
                </c:pt>
                <c:pt idx="20">
                  <c:v>94.328489055551685</c:v>
                </c:pt>
                <c:pt idx="21">
                  <c:v>95.484674918735323</c:v>
                </c:pt>
                <c:pt idx="22">
                  <c:v>98.45110105410437</c:v>
                </c:pt>
                <c:pt idx="23">
                  <c:v>97.921399208082477</c:v>
                </c:pt>
                <c:pt idx="24">
                  <c:v>94.940708877569776</c:v>
                </c:pt>
                <c:pt idx="25">
                  <c:v>92.928777765540374</c:v>
                </c:pt>
                <c:pt idx="26">
                  <c:v>88.98338833137386</c:v>
                </c:pt>
                <c:pt idx="27">
                  <c:v>85.05900472411399</c:v>
                </c:pt>
                <c:pt idx="28">
                  <c:v>84.273179991412263</c:v>
                </c:pt>
                <c:pt idx="29">
                  <c:v>82.283311642669076</c:v>
                </c:pt>
                <c:pt idx="30">
                  <c:v>82.215558430737048</c:v>
                </c:pt>
                <c:pt idx="31">
                  <c:v>78.844682647967446</c:v>
                </c:pt>
                <c:pt idx="32">
                  <c:v>81.520379046647548</c:v>
                </c:pt>
                <c:pt idx="33">
                  <c:v>79.497667872886382</c:v>
                </c:pt>
                <c:pt idx="34">
                  <c:v>77.665693999339368</c:v>
                </c:pt>
                <c:pt idx="35">
                  <c:v>77.073149202739614</c:v>
                </c:pt>
                <c:pt idx="36">
                  <c:v>75.833121425218479</c:v>
                </c:pt>
                <c:pt idx="37">
                  <c:v>75.033138856094766</c:v>
                </c:pt>
                <c:pt idx="38">
                  <c:v>76.331677503716776</c:v>
                </c:pt>
                <c:pt idx="39">
                  <c:v>77.492595670959815</c:v>
                </c:pt>
                <c:pt idx="40">
                  <c:v>76.51243418304918</c:v>
                </c:pt>
                <c:pt idx="41">
                  <c:v>76.113475557463843</c:v>
                </c:pt>
                <c:pt idx="42">
                  <c:v>74.774062141725722</c:v>
                </c:pt>
                <c:pt idx="43">
                  <c:v>74.959871886022697</c:v>
                </c:pt>
                <c:pt idx="44">
                  <c:v>74.776828700883016</c:v>
                </c:pt>
                <c:pt idx="45">
                  <c:v>73.739207515830856</c:v>
                </c:pt>
                <c:pt idx="46">
                  <c:v>74.534087727463699</c:v>
                </c:pt>
                <c:pt idx="47">
                  <c:v>68.255557937082344</c:v>
                </c:pt>
                <c:pt idx="48">
                  <c:v>58.996935865886478</c:v>
                </c:pt>
                <c:pt idx="49">
                  <c:v>61.351741444123533</c:v>
                </c:pt>
                <c:pt idx="50">
                  <c:v>65.727893375572066</c:v>
                </c:pt>
                <c:pt idx="51">
                  <c:v>68.509400312574769</c:v>
                </c:pt>
                <c:pt idx="52">
                  <c:v>69.967852989144362</c:v>
                </c:pt>
                <c:pt idx="53">
                  <c:v>71.361445339012846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B-4559-BC15-02260BB50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394311"/>
        <c:axId val="439396359"/>
      </c:lineChart>
      <c:dateAx>
        <c:axId val="4393943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96359"/>
        <c:crosses val="autoZero"/>
        <c:auto val="1"/>
        <c:lblOffset val="100"/>
        <c:baseTimeUnit val="months"/>
      </c:dateAx>
      <c:valAx>
        <c:axId val="439396359"/>
        <c:scaling>
          <c:orientation val="minMax"/>
          <c:max val="11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9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43</xdr:row>
      <xdr:rowOff>85725</xdr:rowOff>
    </xdr:from>
    <xdr:to>
      <xdr:col>14</xdr:col>
      <xdr:colOff>485775</xdr:colOff>
      <xdr:row>62</xdr:row>
      <xdr:rowOff>19050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6578B85C-4161-24A8-A1D9-6532AA140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80.762888194447" createdVersion="8" refreshedVersion="8" minRefreshableVersion="3" recordCount="162" xr:uid="{326CD8E6-D4EA-4A39-B18A-1A21D701B902}">
  <cacheSource type="worksheet">
    <worksheetSource name="Tabla6"/>
  </cacheSource>
  <cacheFields count="6">
    <cacheField name="Meses" numFmtId="17">
      <sharedItems containsSemiMixedTypes="0" containsNonDate="0" containsDate="1" containsString="0" minDate="2012-01-01T00:00:00" maxDate="2025-06-02T00:00:00" count="162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  <fieldGroup par="5"/>
    </cacheField>
    <cacheField name="Base abr2012 =100" numFmtId="0">
      <sharedItems containsString="0" containsBlank="1" containsNumber="1" minValue="94.532015069743522" maxValue="246.99920872445574"/>
    </cacheField>
    <cacheField name="Base oct2016 =100" numFmtId="0">
      <sharedItems containsSemiMixedTypes="0" containsString="0" containsNumber="1" minValue="28.470289483924542" maxValue="6956.46"/>
    </cacheField>
    <cacheField name="Meses (Meses)" numFmtId="0" databaseField="0">
      <fieldGroup base="0">
        <rangePr groupBy="months" startDate="2012-01-01T00:00:00" endDate="2025-06-02T00:00:00"/>
        <groupItems count="14">
          <s v="&lt;01/01/201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/06/2025"/>
        </groupItems>
      </fieldGroup>
    </cacheField>
    <cacheField name="Trimestres (Meses)" numFmtId="0" databaseField="0">
      <fieldGroup base="0">
        <rangePr groupBy="quarters" startDate="2012-01-01T00:00:00" endDate="2025-06-02T00:00:00"/>
        <groupItems count="6">
          <s v="&lt;01/01/2012"/>
          <s v="Trim.1"/>
          <s v="Trim.2"/>
          <s v="Trim.3"/>
          <s v="Trim.4"/>
          <s v="&gt;02/06/2025"/>
        </groupItems>
      </fieldGroup>
    </cacheField>
    <cacheField name="Años (Meses)" numFmtId="0" databaseField="0">
      <fieldGroup base="0">
        <rangePr groupBy="years" startDate="2012-01-01T00:00:00" endDate="2025-06-02T00:00:00"/>
        <groupItems count="16">
          <s v="&lt;01/01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2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n v="94.532015069743522"/>
    <n v="28.470289483924542"/>
  </r>
  <r>
    <x v="1"/>
    <n v="95.727535557944009"/>
    <n v="28.830345432778685"/>
  </r>
  <r>
    <x v="2"/>
    <n v="97.265579840348948"/>
    <n v="29.293559571680277"/>
  </r>
  <r>
    <x v="3"/>
    <n v="99.999514752773806"/>
    <n v="30.116941135370823"/>
  </r>
  <r>
    <x v="4"/>
    <n v="102.345105"/>
    <n v="30.82336459730519"/>
  </r>
  <r>
    <x v="5"/>
    <n v="104.358844"/>
    <n v="31.429844129480301"/>
  </r>
  <r>
    <x v="6"/>
    <n v="107.02364700000001"/>
    <n v="32.232405174769106"/>
  </r>
  <r>
    <x v="7"/>
    <n v="109.318668"/>
    <n v="32.923598652380683"/>
  </r>
  <r>
    <x v="8"/>
    <n v="110.794386"/>
    <n v="33.368041930413433"/>
  </r>
  <r>
    <x v="9"/>
    <n v="112.29013999999999"/>
    <n v="33.818519468053147"/>
  </r>
  <r>
    <x v="10"/>
    <n v="114.89276199999999"/>
    <n v="34.602353407301798"/>
  </r>
  <r>
    <x v="11"/>
    <n v="116.48441100000001"/>
    <n v="35.081711725786469"/>
  </r>
  <r>
    <x v="12"/>
    <n v="117.207531"/>
    <n v="35.299494407308984"/>
  </r>
  <r>
    <x v="13"/>
    <n v="118.0295287043233"/>
    <n v="35.547056173340728"/>
  </r>
  <r>
    <x v="14"/>
    <n v="121.07432118260607"/>
    <n v="36.464058981450044"/>
  </r>
  <r>
    <x v="15"/>
    <n v="123.67204298175955"/>
    <n v="37.246417122932968"/>
  </r>
  <r>
    <x v="16"/>
    <n v="128.24042879794416"/>
    <n v="38.622281866375424"/>
  </r>
  <r>
    <x v="17"/>
    <n v="130.911696334677"/>
    <n v="39.426789841834164"/>
  </r>
  <r>
    <x v="18"/>
    <n v="133.929789"/>
    <n v="40.335751443971397"/>
  </r>
  <r>
    <x v="19"/>
    <n v="136.47143025151402"/>
    <n v="41.10121975797594"/>
  </r>
  <r>
    <x v="20"/>
    <n v="139.6803328796735"/>
    <n v="42.067647763155179"/>
  </r>
  <r>
    <x v="21"/>
    <n v="141.52180318351304"/>
    <n v="42.622244981755493"/>
  </r>
  <r>
    <x v="22"/>
    <n v="144.91122285125465"/>
    <n v="43.643039461296809"/>
  </r>
  <r>
    <x v="23"/>
    <n v="146.62850909503175"/>
    <n v="44.16023605814312"/>
  </r>
  <r>
    <x v="24"/>
    <n v="149.17215602754115"/>
    <n v="44.926308424843548"/>
  </r>
  <r>
    <x v="25"/>
    <n v="152.33684437075482"/>
    <n v="45.87942037523645"/>
  </r>
  <r>
    <x v="26"/>
    <n v="156.76297775823843"/>
    <n v="47.212442830572378"/>
  </r>
  <r>
    <x v="27"/>
    <n v="164.52121901965131"/>
    <n v="49.548999122486741"/>
  </r>
  <r>
    <x v="28"/>
    <n v="169.68180245934093"/>
    <n v="51.103216541056668"/>
  </r>
  <r>
    <x v="29"/>
    <n v="174.77345524311482"/>
    <n v="52.63667405382337"/>
  </r>
  <r>
    <x v="30"/>
    <n v="180.7632207635686"/>
    <n v="54.440616963348099"/>
  </r>
  <r>
    <x v="31"/>
    <n v="184.8878936264795"/>
    <n v="55.682848289390648"/>
  </r>
  <r>
    <x v="32"/>
    <n v="187.98459706236576"/>
    <n v="56.61548516590809"/>
  </r>
  <r>
    <x v="33"/>
    <n v="190.91575837506286"/>
    <n v="57.49826557670329"/>
  </r>
  <r>
    <x v="34"/>
    <n v="194.03766820502864"/>
    <n v="58.438493884925222"/>
  </r>
  <r>
    <x v="35"/>
    <n v="195.99360580704149"/>
    <n v="59.02756531962082"/>
  </r>
  <r>
    <x v="36"/>
    <n v="199.8257992995255"/>
    <n v="60.181710378402627"/>
  </r>
  <r>
    <x v="37"/>
    <n v="201.66569207134734"/>
    <n v="60.735832490308326"/>
  </r>
  <r>
    <x v="38"/>
    <n v="208.04018065307298"/>
    <n v="62.655642779973753"/>
  </r>
  <r>
    <x v="39"/>
    <n v="210.92470364796719"/>
    <n v="63.524377087891409"/>
  </r>
  <r>
    <x v="40"/>
    <n v="217.05013605891628"/>
    <n v="65.369178913233554"/>
  </r>
  <r>
    <x v="41"/>
    <n v="225.55054076141241"/>
    <n v="67.929253216442149"/>
  </r>
  <r>
    <x v="42"/>
    <n v="233.48556905400631"/>
    <n v="70.319052612832962"/>
  </r>
  <r>
    <x v="43"/>
    <n v="239.65215789419534"/>
    <n v="72.176249555889697"/>
  </r>
  <r>
    <x v="44"/>
    <n v="244.0242058911802"/>
    <n v="73.492983066964626"/>
  </r>
  <r>
    <x v="45"/>
    <n v="246.99920872445574"/>
    <n v="74.388967266776305"/>
  </r>
  <r>
    <x v="46"/>
    <m/>
    <n v="76.05920800978204"/>
  </r>
  <r>
    <x v="47"/>
    <m/>
    <n v="77.300289323616397"/>
  </r>
  <r>
    <x v="48"/>
    <m/>
    <n v="78.442408505473125"/>
  </r>
  <r>
    <x v="49"/>
    <m/>
    <n v="79.481675007806885"/>
  </r>
  <r>
    <x v="50"/>
    <m/>
    <n v="81.800342796104374"/>
  </r>
  <r>
    <x v="51"/>
    <m/>
    <n v="85.365751000248324"/>
  </r>
  <r>
    <x v="52"/>
    <m/>
    <n v="88.195213769451726"/>
  </r>
  <r>
    <x v="53"/>
    <m/>
    <n v="89.858500356733671"/>
  </r>
  <r>
    <x v="54"/>
    <m/>
    <n v="93.789412064810733"/>
  </r>
  <r>
    <x v="55"/>
    <m/>
    <n v="96.284661706342476"/>
  </r>
  <r>
    <x v="56"/>
    <m/>
    <n v="97.579252336488835"/>
  </r>
  <r>
    <x v="57"/>
    <m/>
    <n v="100"/>
  </r>
  <r>
    <x v="58"/>
    <m/>
    <n v="101.41"/>
  </r>
  <r>
    <x v="59"/>
    <m/>
    <n v="102.79"/>
  </r>
  <r>
    <x v="60"/>
    <m/>
    <n v="104.38"/>
  </r>
  <r>
    <x v="61"/>
    <m/>
    <n v="105.76"/>
  </r>
  <r>
    <x v="62"/>
    <m/>
    <n v="108.82"/>
  </r>
  <r>
    <x v="63"/>
    <m/>
    <n v="112.63"/>
  </r>
  <r>
    <x v="64"/>
    <m/>
    <n v="114.43"/>
  </r>
  <r>
    <x v="65"/>
    <m/>
    <n v="116.45"/>
  </r>
  <r>
    <x v="66"/>
    <m/>
    <n v="121.1"/>
  </r>
  <r>
    <x v="67"/>
    <m/>
    <n v="123.95"/>
  </r>
  <r>
    <x v="68"/>
    <m/>
    <n v="125.71"/>
  </r>
  <r>
    <x v="69"/>
    <m/>
    <n v="127.62"/>
  </r>
  <r>
    <x v="70"/>
    <m/>
    <n v="129.61000000000001"/>
  </r>
  <r>
    <x v="71"/>
    <m/>
    <n v="131.03"/>
  </r>
  <r>
    <x v="72"/>
    <m/>
    <n v="132.47999999999999"/>
  </r>
  <r>
    <x v="73"/>
    <m/>
    <n v="133.59"/>
  </r>
  <r>
    <x v="74"/>
    <m/>
    <n v="136.13999999999999"/>
  </r>
  <r>
    <x v="75"/>
    <m/>
    <n v="139.81"/>
  </r>
  <r>
    <x v="76"/>
    <m/>
    <n v="141.93"/>
  </r>
  <r>
    <x v="77"/>
    <m/>
    <n v="143.13999999999999"/>
  </r>
  <r>
    <x v="78"/>
    <m/>
    <n v="146.9"/>
  </r>
  <r>
    <x v="79"/>
    <m/>
    <n v="151.05000000000001"/>
  </r>
  <r>
    <x v="80"/>
    <m/>
    <n v="155.44"/>
  </r>
  <r>
    <x v="81"/>
    <m/>
    <n v="161.12"/>
  </r>
  <r>
    <x v="82"/>
    <m/>
    <n v="165.83"/>
  </r>
  <r>
    <x v="83"/>
    <m/>
    <n v="169.94"/>
  </r>
  <r>
    <x v="84"/>
    <m/>
    <n v="175.19"/>
  </r>
  <r>
    <x v="85"/>
    <m/>
    <n v="179.84"/>
  </r>
  <r>
    <x v="86"/>
    <m/>
    <n v="186.94"/>
  </r>
  <r>
    <x v="87"/>
    <m/>
    <n v="191.11"/>
  </r>
  <r>
    <x v="88"/>
    <m/>
    <n v="196.51"/>
  </r>
  <r>
    <x v="89"/>
    <m/>
    <n v="200.44"/>
  </r>
  <r>
    <x v="90"/>
    <m/>
    <n v="209.9"/>
  </r>
  <r>
    <x v="91"/>
    <m/>
    <n v="215.02"/>
  </r>
  <r>
    <x v="92"/>
    <m/>
    <n v="220.77"/>
  </r>
  <r>
    <x v="93"/>
    <m/>
    <n v="227.92"/>
  </r>
  <r>
    <x v="94"/>
    <m/>
    <n v="233.32"/>
  </r>
  <r>
    <x v="95"/>
    <m/>
    <n v="239.44"/>
  </r>
  <r>
    <x v="96"/>
    <m/>
    <n v="253.78"/>
  </r>
  <r>
    <x v="97"/>
    <m/>
    <n v="263.55"/>
  </r>
  <r>
    <x v="98"/>
    <m/>
    <n v="271.58"/>
  </r>
  <r>
    <x v="99"/>
    <m/>
    <n v="272.02999999999997"/>
  </r>
  <r>
    <x v="100"/>
    <m/>
    <n v="271.83999999999997"/>
  </r>
  <r>
    <x v="101"/>
    <m/>
    <n v="273.47000000000003"/>
  </r>
  <r>
    <x v="102"/>
    <m/>
    <n v="278.37"/>
  </r>
  <r>
    <x v="103"/>
    <m/>
    <n v="283.92"/>
  </r>
  <r>
    <x v="104"/>
    <m/>
    <n v="291.02"/>
  </r>
  <r>
    <x v="105"/>
    <m/>
    <n v="302.94"/>
  </r>
  <r>
    <x v="106"/>
    <m/>
    <n v="312.92"/>
  </r>
  <r>
    <x v="107"/>
    <m/>
    <n v="318.42"/>
  </r>
  <r>
    <x v="108"/>
    <m/>
    <n v="328.84"/>
  </r>
  <r>
    <x v="109"/>
    <m/>
    <n v="343.06"/>
  </r>
  <r>
    <x v="110"/>
    <m/>
    <n v="360.28"/>
  </r>
  <r>
    <x v="111"/>
    <m/>
    <n v="371.84"/>
  </r>
  <r>
    <x v="112"/>
    <m/>
    <n v="382.42"/>
  </r>
  <r>
    <x v="113"/>
    <m/>
    <n v="391.16"/>
  </r>
  <r>
    <x v="114"/>
    <m/>
    <n v="410.37"/>
  </r>
  <r>
    <x v="115"/>
    <m/>
    <n v="423.41"/>
  </r>
  <r>
    <x v="116"/>
    <m/>
    <n v="440.34"/>
  </r>
  <r>
    <x v="117"/>
    <m/>
    <n v="458.07"/>
  </r>
  <r>
    <x v="118"/>
    <m/>
    <n v="476.11"/>
  </r>
  <r>
    <x v="119"/>
    <m/>
    <n v="488.33"/>
  </r>
  <r>
    <x v="120"/>
    <m/>
    <n v="506.68"/>
  </r>
  <r>
    <x v="121"/>
    <m/>
    <n v="522.55999999999995"/>
  </r>
  <r>
    <x v="122"/>
    <m/>
    <n v="561.16"/>
  </r>
  <r>
    <x v="123"/>
    <m/>
    <n v="589.01"/>
  </r>
  <r>
    <x v="124"/>
    <m/>
    <n v="625.63"/>
  </r>
  <r>
    <x v="125"/>
    <m/>
    <n v="655.94"/>
  </r>
  <r>
    <x v="126"/>
    <m/>
    <n v="692.32"/>
  </r>
  <r>
    <x v="127"/>
    <m/>
    <n v="737.46"/>
  </r>
  <r>
    <x v="128"/>
    <m/>
    <n v="787.08"/>
  </r>
  <r>
    <x v="129"/>
    <m/>
    <n v="827.54"/>
  </r>
  <r>
    <x v="130"/>
    <m/>
    <n v="883.06"/>
  </r>
  <r>
    <x v="131"/>
    <m/>
    <n v="929.56"/>
  </r>
  <r>
    <x v="132"/>
    <m/>
    <n v="973.35"/>
  </r>
  <r>
    <x v="133"/>
    <m/>
    <n v="1031.74"/>
  </r>
  <r>
    <x v="134"/>
    <m/>
    <n v="1136.04"/>
  </r>
  <r>
    <x v="135"/>
    <m/>
    <n v="1200.49"/>
  </r>
  <r>
    <x v="136"/>
    <m/>
    <n v="1290.46"/>
  </r>
  <r>
    <x v="137"/>
    <m/>
    <n v="1368.71"/>
  </r>
  <r>
    <x v="138"/>
    <m/>
    <n v="1519.5"/>
  </r>
  <r>
    <x v="139"/>
    <m/>
    <n v="1635.33"/>
  </r>
  <r>
    <x v="140"/>
    <m/>
    <n v="1826.29"/>
  </r>
  <r>
    <x v="141"/>
    <m/>
    <n v="1978.41"/>
  </r>
  <r>
    <x v="142"/>
    <m/>
    <n v="2157.73"/>
  </r>
  <r>
    <x v="143"/>
    <m/>
    <n v="2348.79"/>
  </r>
  <r>
    <x v="144"/>
    <m/>
    <n v="2734.97"/>
  </r>
  <r>
    <x v="145"/>
    <m/>
    <n v="3099.2"/>
  </r>
  <r>
    <x v="146"/>
    <m/>
    <n v="3417.34"/>
  </r>
  <r>
    <x v="147"/>
    <m/>
    <n v="3764.21"/>
  </r>
  <r>
    <x v="148"/>
    <m/>
    <n v="4077.32"/>
  </r>
  <r>
    <x v="149"/>
    <m/>
    <n v="4329.8"/>
  </r>
  <r>
    <x v="150"/>
    <m/>
    <n v="4653.26"/>
  </r>
  <r>
    <x v="151"/>
    <m/>
    <n v="4916.1899999999996"/>
  </r>
  <r>
    <x v="152"/>
    <m/>
    <n v="5147.6099999999997"/>
  </r>
  <r>
    <x v="153"/>
    <m/>
    <n v="5383.96"/>
  </r>
  <r>
    <x v="154"/>
    <m/>
    <n v="5591"/>
  </r>
  <r>
    <x v="155"/>
    <m/>
    <n v="5765.54"/>
  </r>
  <r>
    <x v="156"/>
    <m/>
    <n v="5934.47"/>
  </r>
  <r>
    <x v="157"/>
    <m/>
    <n v="6161.52"/>
  </r>
  <r>
    <x v="158"/>
    <m/>
    <n v="6344.81"/>
  </r>
  <r>
    <x v="159"/>
    <m/>
    <n v="6559.31"/>
  </r>
  <r>
    <x v="160"/>
    <m/>
    <n v="6755.22"/>
  </r>
  <r>
    <x v="161"/>
    <m/>
    <n v="6956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6B94C-7FCA-4FCE-AD8A-B373B87802E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H3:J58" firstHeaderRow="1" firstDataRow="1" firstDataCol="2"/>
  <pivotFields count="6">
    <pivotField compact="0" numFmtId="17" outline="0" showAll="0" defaultSubtotal="0">
      <items count="1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</items>
    </pivotField>
    <pivotField compact="0" outline="0" showAll="0" defaultSubtotal="0"/>
    <pivotField dataField="1"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2">
    <field x="5"/>
    <field x="4"/>
  </rowFields>
  <rowItems count="55"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>
      <x v="6"/>
      <x v="1"/>
    </i>
    <i r="1">
      <x v="2"/>
    </i>
    <i r="1">
      <x v="3"/>
    </i>
    <i r="1">
      <x v="4"/>
    </i>
    <i>
      <x v="7"/>
      <x v="1"/>
    </i>
    <i r="1">
      <x v="2"/>
    </i>
    <i r="1">
      <x v="3"/>
    </i>
    <i r="1">
      <x v="4"/>
    </i>
    <i>
      <x v="8"/>
      <x v="1"/>
    </i>
    <i r="1">
      <x v="2"/>
    </i>
    <i r="1">
      <x v="3"/>
    </i>
    <i r="1">
      <x v="4"/>
    </i>
    <i>
      <x v="9"/>
      <x v="1"/>
    </i>
    <i r="1">
      <x v="2"/>
    </i>
    <i r="1">
      <x v="3"/>
    </i>
    <i r="1">
      <x v="4"/>
    </i>
    <i>
      <x v="10"/>
      <x v="1"/>
    </i>
    <i r="1">
      <x v="2"/>
    </i>
    <i r="1">
      <x v="3"/>
    </i>
    <i r="1">
      <x v="4"/>
    </i>
    <i>
      <x v="11"/>
      <x v="1"/>
    </i>
    <i r="1">
      <x v="2"/>
    </i>
    <i r="1">
      <x v="3"/>
    </i>
    <i r="1">
      <x v="4"/>
    </i>
    <i>
      <x v="12"/>
      <x v="1"/>
    </i>
    <i r="1">
      <x v="2"/>
    </i>
    <i r="1">
      <x v="3"/>
    </i>
    <i r="1">
      <x v="4"/>
    </i>
    <i>
      <x v="13"/>
      <x v="1"/>
    </i>
    <i r="1">
      <x v="2"/>
    </i>
    <i r="1">
      <x v="3"/>
    </i>
    <i r="1">
      <x v="4"/>
    </i>
    <i>
      <x v="14"/>
      <x v="1"/>
    </i>
    <i r="1">
      <x v="2"/>
    </i>
    <i t="grand">
      <x/>
    </i>
  </rowItems>
  <colItems count="1">
    <i/>
  </colItems>
  <dataFields count="1">
    <dataField name="Promedio de Base oct2016 =100" fld="2" subtotal="average" baseField="5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AD118376-2479-48A9-902E-E9C0E7C05C63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Fecha" tableColumnId="1"/>
      <queryTableField id="2" name="VAB Sector Público" tableColumnId="2"/>
      <queryTableField id="3" name="VAB Sector Privado" tableColumnId="3"/>
      <queryTableField id="4" name="VAB Industria Manufacturera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5EFB80C-8894-47C8-B9CE-73C73AFD3EA6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Sector Privado" tableColumnId="2"/>
      <queryTableField id="3" name="Sector Públic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682E8FD3-9F0D-42D9-8B36-1D120A926595}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Salarios_Ind_Trim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D44C386-5D00-4DDD-88A8-A3E874E7185B}" autoFormatId="16" applyNumberFormats="0" applyBorderFormats="0" applyFontFormats="0" applyPatternFormats="0" applyAlignmentFormats="0" applyWidthHeightFormats="0">
  <queryTableRefresh nextId="10" unboundColumnsRight="5">
    <queryTableFields count="8">
      <queryTableField id="1" name="Fecha" tableColumnId="1"/>
      <queryTableField id="2" name="Puestos_sector_privado " tableColumnId="2"/>
      <queryTableField id="3" name="Puestos_sector_publico TRIMESTRAL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2CE119-61A4-4B74-BB23-9B6E4D1C31D0}" name="VAB_trim" displayName="VAB_trim" ref="A1:E87" tableType="queryTable" totalsRowShown="0">
  <autoFilter ref="A1:E87" xr:uid="{8E2CE119-61A4-4B74-BB23-9B6E4D1C31D0}"/>
  <tableColumns count="5">
    <tableColumn id="1" xr3:uid="{1DECE0AB-6D99-4993-A502-52781A4C8EF9}" uniqueName="1" name="Fecha" queryTableFieldId="1" dataDxfId="13"/>
    <tableColumn id="2" xr3:uid="{D4F262CA-BB17-4D1B-BD63-DC1F65D4D4B3}" uniqueName="2" name="VAB Sector Público" queryTableFieldId="2"/>
    <tableColumn id="3" xr3:uid="{30C44ACA-B127-4160-B277-B47DB553A468}" uniqueName="3" name="VAB Sector Privado" queryTableFieldId="3"/>
    <tableColumn id="4" xr3:uid="{3C64D160-F6FB-4DBF-8354-1C44E0949B19}" uniqueName="4" name="VAB Industria Manufacturera" queryTableFieldId="4"/>
    <tableColumn id="5" xr3:uid="{1BD0193A-06EB-4E58-8835-77BBD51BB2F7}" uniqueName="5" name="VAB General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53F5BF-4F46-4AFB-8825-C61846E69DA7}" name="Tabla10" displayName="Tabla10" ref="A1:B55" totalsRowShown="0">
  <autoFilter ref="A1:B55" xr:uid="{1D53F5BF-4F46-4AFB-8825-C61846E69DA7}"/>
  <tableColumns count="2">
    <tableColumn id="1" xr3:uid="{66A1324D-1EF4-4BBC-909B-5375982F7E81}" name="Fecha" dataDxfId="12"/>
    <tableColumn id="2" xr3:uid="{CF2B2724-9A3C-4DBE-B2CF-E9E84205EDE2}" name="Salarios_Reales_Totales_Tri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7FF2B-61BF-467B-9C27-2262081FCC39}" name="Salario_sector_trim" displayName="Salario_sector_trim" ref="A1:C81" tableType="queryTable" totalsRowShown="0">
  <autoFilter ref="A1:C81" xr:uid="{ED87FF2B-61BF-467B-9C27-2262081FCC39}"/>
  <tableColumns count="3">
    <tableColumn id="1" xr3:uid="{E14B0860-E714-4B97-8AC3-D87F6544D351}" uniqueName="1" name="Fecha" queryTableFieldId="1" dataDxfId="11"/>
    <tableColumn id="2" xr3:uid="{3E088543-2328-4D26-94A1-82B9AECECC94}" uniqueName="2" name="Sector Privado" queryTableFieldId="2"/>
    <tableColumn id="3" xr3:uid="{7FEE2915-A950-43A2-B098-01C9D24F08E6}" uniqueName="3" name="Sector Público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3BBE39-A08B-4023-A190-27A70F57DED9}" name="Salarios_Ind_Trim" displayName="Salarios_Ind_Trim" ref="A1:B85" tableType="queryTable" totalsRowShown="0">
  <autoFilter ref="A1:B85" xr:uid="{2C3BBE39-A08B-4023-A190-27A70F57DED9}"/>
  <tableColumns count="2">
    <tableColumn id="1" xr3:uid="{18680829-EA4E-438C-A898-9955E293DDD0}" uniqueName="1" name="Fecha" queryTableFieldId="1" dataDxfId="10"/>
    <tableColumn id="2" xr3:uid="{CCF10498-B14E-4D80-B946-80B3A17F436F}" uniqueName="2" name="Salarios_Ind_Trim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29063-DCA1-4F15-8120-CB4EF6E650A1}" name="Puesto_desest_trim" displayName="Puesto_desest_trim" ref="A1:H69" tableType="queryTable" totalsRowShown="0">
  <autoFilter ref="A1:H69" xr:uid="{65F29063-DCA1-4F15-8120-CB4EF6E650A1}"/>
  <tableColumns count="8">
    <tableColumn id="1" xr3:uid="{E36F27C6-7C93-4EF8-8CCC-4B9D18C80672}" uniqueName="1" name="Fecha" queryTableFieldId="1" dataDxfId="9"/>
    <tableColumn id="2" xr3:uid="{346FF22E-DFD0-4027-8D51-93DBF7F67BDE}" uniqueName="2" name="Puestos_sector_privado " queryTableFieldId="2" dataDxfId="8"/>
    <tableColumn id="3" xr3:uid="{2CAA2FF1-DB41-4BEF-81FF-8224A6F3E69B}" uniqueName="3" name="Puestos_sector_publico TRIMESTRAL" queryTableFieldId="3" dataDxfId="7"/>
    <tableColumn id="4" xr3:uid="{26220657-BE3D-474C-8272-F83E6FEBF716}" uniqueName="4" name="Puestos_Industria" queryTableFieldId="4" dataDxfId="6" dataCellStyle="Millares"/>
    <tableColumn id="5" xr3:uid="{B821C684-B5B4-4FD2-8592-B88FD5C77656}" uniqueName="5" name="Puestos_Comercio" queryTableFieldId="5" dataDxfId="5"/>
    <tableColumn id="6" xr3:uid="{3C7C4149-B235-47A5-B323-003754D5F12F}" uniqueName="6" name="Puestos_Transporte" queryTableFieldId="6" dataDxfId="4"/>
    <tableColumn id="7" xr3:uid="{18EBD513-8FEC-4B64-8962-924F092B3803}" uniqueName="7" name="Puestos_Acts_Inmob" queryTableFieldId="7" dataDxfId="3"/>
    <tableColumn id="8" xr3:uid="{8243166A-32BD-4AD9-BCFA-4B9AC3256C8A}" uniqueName="8" name="Puestos_Total" queryTableFieldId="8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956215-22F7-420C-8886-9C6B69BDEA98}" name="Tabla3" displayName="Tabla3" ref="C1:C241" totalsRowShown="0">
  <autoFilter ref="C1:C241" xr:uid="{7F55E8D1-A1EE-47E2-B572-BB2B364FBA3F}"/>
  <tableColumns count="1">
    <tableColumn id="1" xr3:uid="{14009741-FFD0-4374-B98A-A565BBAD30AC}" name="IPC tri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A6C64B-783F-4FBC-B0F4-E5F69DC5C654}" name="Tabla6" displayName="Tabla6" ref="D2:F164" totalsRowShown="0">
  <autoFilter ref="D2:F164" xr:uid="{C8A6C64B-783F-4FBC-B0F4-E5F69DC5C654}"/>
  <tableColumns count="3">
    <tableColumn id="1" xr3:uid="{6249D36E-9CB5-46ED-B413-C68C6B26B16E}" name="Meses" dataDxfId="1" dataCellStyle="Normal 2"/>
    <tableColumn id="2" xr3:uid="{92B92F89-F164-4CD7-B84F-2A3A1DC1AAD6}" name="Base abr2012 =100"/>
    <tableColumn id="3" xr3:uid="{B0833C73-9403-44E6-B81B-B095F4FC6AC4}" name="Base oct2016 =10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0272-A62D-45A4-AD41-F54CAE6E0AF5}">
  <dimension ref="A1:H87"/>
  <sheetViews>
    <sheetView tabSelected="1" workbookViewId="0">
      <selection activeCell="F7" sqref="F7"/>
    </sheetView>
  </sheetViews>
  <sheetFormatPr baseColWidth="10" defaultColWidth="11.44140625" defaultRowHeight="14.4" x14ac:dyDescent="0.3"/>
  <cols>
    <col min="1" max="1" width="11.109375" bestFit="1" customWidth="1"/>
    <col min="2" max="3" width="20.33203125" bestFit="1" customWidth="1"/>
    <col min="4" max="4" width="29" bestFit="1" customWidth="1"/>
    <col min="5" max="5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s="1">
        <v>38077</v>
      </c>
      <c r="B2">
        <v>37002.446300000003</v>
      </c>
      <c r="C2">
        <v>353784.48639999999</v>
      </c>
      <c r="D2">
        <v>86448.022169999997</v>
      </c>
      <c r="E2">
        <v>390786.9327</v>
      </c>
      <c r="G2" s="3">
        <v>390786.93271000002</v>
      </c>
    </row>
    <row r="3" spans="1:7" x14ac:dyDescent="0.3">
      <c r="A3" s="1">
        <v>38168</v>
      </c>
      <c r="B3">
        <v>38178.22006</v>
      </c>
      <c r="C3">
        <v>401564.36479999998</v>
      </c>
      <c r="D3">
        <v>91700.169049999997</v>
      </c>
      <c r="E3">
        <v>439742.58490000002</v>
      </c>
      <c r="G3" s="4">
        <v>439742.58489</v>
      </c>
    </row>
    <row r="4" spans="1:7" x14ac:dyDescent="0.3">
      <c r="A4" s="1">
        <v>38260</v>
      </c>
      <c r="B4">
        <v>38711.159740000003</v>
      </c>
      <c r="C4">
        <v>367867.7795</v>
      </c>
      <c r="D4">
        <v>93728.825750000004</v>
      </c>
      <c r="E4">
        <v>406578.93920000002</v>
      </c>
      <c r="G4" s="3">
        <v>406578.93920999998</v>
      </c>
    </row>
    <row r="5" spans="1:7" x14ac:dyDescent="0.3">
      <c r="A5" s="1">
        <v>38352</v>
      </c>
      <c r="B5">
        <v>39088.400520000003</v>
      </c>
      <c r="C5">
        <v>373512.98019999999</v>
      </c>
      <c r="D5">
        <v>95588.304999999993</v>
      </c>
      <c r="E5">
        <v>412601.38069999998</v>
      </c>
      <c r="G5" s="4">
        <v>412601.38072999998</v>
      </c>
    </row>
    <row r="6" spans="1:7" x14ac:dyDescent="0.3">
      <c r="A6" s="1">
        <v>38442</v>
      </c>
      <c r="B6">
        <v>39380.334320000002</v>
      </c>
      <c r="C6">
        <v>380260.51530000003</v>
      </c>
      <c r="D6">
        <v>91736.478000000003</v>
      </c>
      <c r="E6">
        <v>419640.84960000002</v>
      </c>
      <c r="G6" s="3">
        <v>419640.84960000002</v>
      </c>
    </row>
    <row r="7" spans="1:7" x14ac:dyDescent="0.3">
      <c r="A7" s="1">
        <v>38533</v>
      </c>
      <c r="B7">
        <v>40466.252899999999</v>
      </c>
      <c r="C7">
        <v>458067.99089999998</v>
      </c>
      <c r="D7">
        <v>99507.400559999995</v>
      </c>
      <c r="E7">
        <v>498534.2438</v>
      </c>
      <c r="G7" s="4">
        <v>498534.2438</v>
      </c>
    </row>
    <row r="8" spans="1:7" x14ac:dyDescent="0.3">
      <c r="A8" s="1">
        <v>38625</v>
      </c>
      <c r="B8">
        <v>40857.847880000001</v>
      </c>
      <c r="C8">
        <v>396418.91700000002</v>
      </c>
      <c r="D8">
        <v>100147.7169</v>
      </c>
      <c r="E8">
        <v>437276.76490000001</v>
      </c>
      <c r="G8" s="3">
        <v>437276.76488999999</v>
      </c>
    </row>
    <row r="9" spans="1:7" x14ac:dyDescent="0.3">
      <c r="A9" s="1">
        <v>38717</v>
      </c>
      <c r="B9">
        <v>41525.920310000001</v>
      </c>
      <c r="C9">
        <v>404235.55070000002</v>
      </c>
      <c r="D9">
        <v>103351.2626</v>
      </c>
      <c r="E9">
        <v>445761.47110000002</v>
      </c>
      <c r="G9" s="4">
        <v>445761.47104999999</v>
      </c>
    </row>
    <row r="10" spans="1:7" x14ac:dyDescent="0.3">
      <c r="A10" s="1">
        <v>38807</v>
      </c>
      <c r="B10">
        <v>40657.869630000001</v>
      </c>
      <c r="C10">
        <v>410865.70079999999</v>
      </c>
      <c r="D10">
        <v>99844.348589999994</v>
      </c>
      <c r="E10">
        <v>451523.57049999997</v>
      </c>
      <c r="G10" s="3">
        <v>451523.57046999998</v>
      </c>
    </row>
    <row r="11" spans="1:7" x14ac:dyDescent="0.3">
      <c r="A11" s="1">
        <v>38898</v>
      </c>
      <c r="B11">
        <v>41863.18305</v>
      </c>
      <c r="C11">
        <v>484004.0344</v>
      </c>
      <c r="D11">
        <v>107920.8162</v>
      </c>
      <c r="E11">
        <v>525867.21750000003</v>
      </c>
      <c r="G11" s="4">
        <v>525867.21745</v>
      </c>
    </row>
    <row r="12" spans="1:7" x14ac:dyDescent="0.3">
      <c r="A12" s="1">
        <v>38990</v>
      </c>
      <c r="B12">
        <v>42537.851580000002</v>
      </c>
      <c r="C12">
        <v>435334.62609999999</v>
      </c>
      <c r="D12">
        <v>110311.8017</v>
      </c>
      <c r="E12">
        <v>477872.47769999999</v>
      </c>
      <c r="G12" s="3">
        <v>477872.47769000003</v>
      </c>
    </row>
    <row r="13" spans="1:7" x14ac:dyDescent="0.3">
      <c r="A13" s="1">
        <v>39082</v>
      </c>
      <c r="B13">
        <v>42880.133099999999</v>
      </c>
      <c r="C13">
        <v>439812.94669999997</v>
      </c>
      <c r="D13">
        <v>112586.64840000001</v>
      </c>
      <c r="E13">
        <v>482693.07980000001</v>
      </c>
      <c r="G13" s="4">
        <v>482693.07975999999</v>
      </c>
    </row>
    <row r="14" spans="1:7" x14ac:dyDescent="0.3">
      <c r="A14" s="1">
        <v>39172</v>
      </c>
      <c r="B14">
        <v>43102.862139999997</v>
      </c>
      <c r="C14">
        <v>442511.87310000003</v>
      </c>
      <c r="D14">
        <v>106109.7322</v>
      </c>
      <c r="E14">
        <v>485614.7352</v>
      </c>
      <c r="G14" s="3">
        <v>485614.73521999997</v>
      </c>
    </row>
    <row r="15" spans="1:7" x14ac:dyDescent="0.3">
      <c r="A15" s="1">
        <v>39263</v>
      </c>
      <c r="B15">
        <v>44459.476470000001</v>
      </c>
      <c r="C15">
        <v>530768.0148</v>
      </c>
      <c r="D15">
        <v>115422.68</v>
      </c>
      <c r="E15">
        <v>575227.49129999999</v>
      </c>
      <c r="G15" s="4">
        <v>575227.49132000003</v>
      </c>
    </row>
    <row r="16" spans="1:7" x14ac:dyDescent="0.3">
      <c r="A16" s="1">
        <v>39355</v>
      </c>
      <c r="B16">
        <v>44700.521139999997</v>
      </c>
      <c r="C16">
        <v>466104.5528</v>
      </c>
      <c r="D16">
        <v>117189.72440000001</v>
      </c>
      <c r="E16">
        <v>510805.07400000002</v>
      </c>
      <c r="G16" s="3">
        <v>510805.07396000001</v>
      </c>
    </row>
    <row r="17" spans="1:8" x14ac:dyDescent="0.3">
      <c r="A17" s="1">
        <v>39447</v>
      </c>
      <c r="B17">
        <v>45336.335520000001</v>
      </c>
      <c r="C17">
        <v>476272.21240000002</v>
      </c>
      <c r="D17">
        <v>124387.5352</v>
      </c>
      <c r="E17">
        <v>521608.54790000001</v>
      </c>
      <c r="G17" s="4">
        <v>521608.54791000002</v>
      </c>
    </row>
    <row r="18" spans="1:8" x14ac:dyDescent="0.3">
      <c r="A18" s="1">
        <v>39538</v>
      </c>
      <c r="B18">
        <v>44493.427689999997</v>
      </c>
      <c r="C18">
        <v>469489.23930000002</v>
      </c>
      <c r="D18">
        <v>113475.7849</v>
      </c>
      <c r="E18">
        <v>513982.66700000002</v>
      </c>
      <c r="G18" s="3">
        <v>513982.66697999998</v>
      </c>
    </row>
    <row r="19" spans="1:8" x14ac:dyDescent="0.3">
      <c r="A19" s="1">
        <v>39629</v>
      </c>
      <c r="B19">
        <v>46502.147040000003</v>
      </c>
      <c r="C19">
        <v>557348.93539999996</v>
      </c>
      <c r="D19">
        <v>123448.05220000001</v>
      </c>
      <c r="E19">
        <v>603851.08250000002</v>
      </c>
      <c r="G19" s="4">
        <v>603851.08248999994</v>
      </c>
    </row>
    <row r="20" spans="1:8" x14ac:dyDescent="0.3">
      <c r="A20" s="1">
        <v>39721</v>
      </c>
      <c r="B20">
        <v>47136.440790000001</v>
      </c>
      <c r="C20">
        <v>492848.31699999998</v>
      </c>
      <c r="D20">
        <v>126049.95020000001</v>
      </c>
      <c r="E20">
        <v>539984.75780000002</v>
      </c>
      <c r="G20" s="3">
        <v>539984.75777999999</v>
      </c>
    </row>
    <row r="21" spans="1:8" x14ac:dyDescent="0.3">
      <c r="A21" s="1">
        <v>39813</v>
      </c>
      <c r="B21">
        <v>47250.54896</v>
      </c>
      <c r="C21">
        <v>466208.06709999999</v>
      </c>
      <c r="D21">
        <v>116905.55070000001</v>
      </c>
      <c r="E21">
        <v>513458.61609999998</v>
      </c>
      <c r="G21" s="4">
        <v>513458.61605000001</v>
      </c>
    </row>
    <row r="22" spans="1:8" x14ac:dyDescent="0.3">
      <c r="A22" s="1">
        <v>39903</v>
      </c>
      <c r="B22">
        <v>46500.430390000001</v>
      </c>
      <c r="C22">
        <v>436499.1471</v>
      </c>
      <c r="D22">
        <v>99731.979590000003</v>
      </c>
      <c r="E22">
        <v>482999.57750000001</v>
      </c>
      <c r="G22" s="3">
        <v>482999.57746</v>
      </c>
      <c r="H22">
        <v>100</v>
      </c>
    </row>
    <row r="23" spans="1:8" x14ac:dyDescent="0.3">
      <c r="A23" s="1">
        <v>39994</v>
      </c>
      <c r="B23">
        <v>47386.671999999999</v>
      </c>
      <c r="C23">
        <v>485344.88380000001</v>
      </c>
      <c r="D23">
        <v>110280.78140000001</v>
      </c>
      <c r="E23">
        <v>532731.55579999997</v>
      </c>
      <c r="G23" s="4">
        <v>532731.55575000006</v>
      </c>
    </row>
    <row r="24" spans="1:8" x14ac:dyDescent="0.3">
      <c r="A24" s="1">
        <v>40086</v>
      </c>
      <c r="B24">
        <v>49121.109100000001</v>
      </c>
      <c r="C24">
        <v>463696.33590000001</v>
      </c>
      <c r="D24">
        <v>115427.8033</v>
      </c>
      <c r="E24">
        <v>512817.44500000001</v>
      </c>
      <c r="G24" s="3">
        <v>512817.44503</v>
      </c>
    </row>
    <row r="25" spans="1:8" x14ac:dyDescent="0.3">
      <c r="A25" s="1">
        <v>40178</v>
      </c>
      <c r="B25">
        <v>49410.632369999999</v>
      </c>
      <c r="C25">
        <v>468776.03009999997</v>
      </c>
      <c r="D25">
        <v>119600.37639999999</v>
      </c>
      <c r="E25">
        <v>518186.66249999998</v>
      </c>
      <c r="G25" s="4">
        <v>518186.66249000002</v>
      </c>
    </row>
    <row r="26" spans="1:8" x14ac:dyDescent="0.3">
      <c r="A26" s="1">
        <v>40268</v>
      </c>
      <c r="B26">
        <v>49028.356169999999</v>
      </c>
      <c r="C26">
        <v>464674.45669999998</v>
      </c>
      <c r="D26">
        <v>109908.23910000001</v>
      </c>
      <c r="E26">
        <v>513702.81290000002</v>
      </c>
      <c r="G26" s="3">
        <v>513702.81287999998</v>
      </c>
    </row>
    <row r="27" spans="1:8" x14ac:dyDescent="0.3">
      <c r="A27" s="1">
        <v>40359</v>
      </c>
      <c r="B27">
        <v>50129.627670000002</v>
      </c>
      <c r="C27">
        <v>571178.86100000003</v>
      </c>
      <c r="D27">
        <v>123636.54790000001</v>
      </c>
      <c r="E27">
        <v>621308.48860000004</v>
      </c>
      <c r="G27" s="4">
        <v>621308.48864</v>
      </c>
    </row>
    <row r="28" spans="1:8" x14ac:dyDescent="0.3">
      <c r="A28" s="1">
        <v>40451</v>
      </c>
      <c r="B28">
        <v>50012.801359999998</v>
      </c>
      <c r="C28">
        <v>507166.93790000002</v>
      </c>
      <c r="D28">
        <v>128980.69590000001</v>
      </c>
      <c r="E28">
        <v>557179.73930000002</v>
      </c>
      <c r="G28" s="3">
        <v>557179.73929000006</v>
      </c>
    </row>
    <row r="29" spans="1:8" x14ac:dyDescent="0.3">
      <c r="A29" s="1">
        <v>40543</v>
      </c>
      <c r="B29">
        <v>50223.477010000002</v>
      </c>
      <c r="C29">
        <v>509575.62880000001</v>
      </c>
      <c r="D29">
        <v>131060.2657</v>
      </c>
      <c r="E29">
        <v>559799.10580000002</v>
      </c>
      <c r="G29" s="4">
        <v>559799.10580000002</v>
      </c>
    </row>
    <row r="30" spans="1:8" x14ac:dyDescent="0.3">
      <c r="A30" s="1">
        <v>40633</v>
      </c>
      <c r="B30">
        <v>50305.84145</v>
      </c>
      <c r="C30">
        <v>501866.69030000002</v>
      </c>
      <c r="D30">
        <v>121432.8364</v>
      </c>
      <c r="E30">
        <v>552172.5318</v>
      </c>
      <c r="G30" s="3">
        <v>552172.5318</v>
      </c>
    </row>
    <row r="31" spans="1:8" x14ac:dyDescent="0.3">
      <c r="A31" s="1">
        <v>40724</v>
      </c>
      <c r="B31">
        <v>51462.326630000003</v>
      </c>
      <c r="C31">
        <v>595436.3064</v>
      </c>
      <c r="D31">
        <v>136012.8529</v>
      </c>
      <c r="E31">
        <v>646898.63300000003</v>
      </c>
      <c r="G31" s="4">
        <v>646898.63300000003</v>
      </c>
    </row>
    <row r="32" spans="1:8" x14ac:dyDescent="0.3">
      <c r="A32" s="1">
        <v>40816</v>
      </c>
      <c r="B32">
        <v>52133.649380000003</v>
      </c>
      <c r="C32">
        <v>538311.43330000003</v>
      </c>
      <c r="D32">
        <v>138227.8371</v>
      </c>
      <c r="E32">
        <v>590445.08270000003</v>
      </c>
      <c r="G32" s="3">
        <v>590445.08265999996</v>
      </c>
    </row>
    <row r="33" spans="1:7" x14ac:dyDescent="0.3">
      <c r="A33" s="1">
        <v>40908</v>
      </c>
      <c r="B33">
        <v>52173.618240000003</v>
      </c>
      <c r="C33">
        <v>532391.21600000001</v>
      </c>
      <c r="D33">
        <v>135753.51190000001</v>
      </c>
      <c r="E33">
        <v>584564.83429999999</v>
      </c>
      <c r="G33" s="4">
        <v>584564.83427999995</v>
      </c>
    </row>
    <row r="34" spans="1:7" x14ac:dyDescent="0.3">
      <c r="A34" s="1">
        <v>40999</v>
      </c>
      <c r="B34">
        <v>52383.839540000001</v>
      </c>
      <c r="C34">
        <v>506007.0956</v>
      </c>
      <c r="D34">
        <v>120673.3827</v>
      </c>
      <c r="E34">
        <v>558390.93519999995</v>
      </c>
      <c r="G34" s="3">
        <v>558390.93518999999</v>
      </c>
    </row>
    <row r="35" spans="1:7" x14ac:dyDescent="0.3">
      <c r="A35" s="1">
        <v>41090</v>
      </c>
      <c r="B35">
        <v>53384.06349</v>
      </c>
      <c r="C35">
        <v>561511.60259999998</v>
      </c>
      <c r="D35">
        <v>128098.393</v>
      </c>
      <c r="E35">
        <v>614895.66610000003</v>
      </c>
      <c r="G35" s="4">
        <v>614895.66613999999</v>
      </c>
    </row>
    <row r="36" spans="1:7" x14ac:dyDescent="0.3">
      <c r="A36" s="1">
        <v>41182</v>
      </c>
      <c r="B36">
        <v>53430.560579999998</v>
      </c>
      <c r="C36">
        <v>529532.71990000003</v>
      </c>
      <c r="D36">
        <v>132304.6655</v>
      </c>
      <c r="E36">
        <v>582963.28049999999</v>
      </c>
      <c r="G36" s="3">
        <v>582963.28046000004</v>
      </c>
    </row>
    <row r="37" spans="1:7" x14ac:dyDescent="0.3">
      <c r="A37" s="1">
        <v>41274</v>
      </c>
      <c r="B37">
        <v>53848.075349999999</v>
      </c>
      <c r="C37">
        <v>530247.19889999996</v>
      </c>
      <c r="D37">
        <v>134868.39360000001</v>
      </c>
      <c r="E37">
        <v>584095.27419999999</v>
      </c>
      <c r="G37" s="4">
        <v>584095.27422000002</v>
      </c>
    </row>
    <row r="38" spans="1:7" x14ac:dyDescent="0.3">
      <c r="A38" s="1">
        <v>41364</v>
      </c>
      <c r="B38">
        <v>53801.371599999999</v>
      </c>
      <c r="C38">
        <v>505088.84419999999</v>
      </c>
      <c r="D38">
        <v>118001.20699999999</v>
      </c>
      <c r="E38">
        <v>558890.21580000001</v>
      </c>
      <c r="G38" s="3">
        <v>558890.21577000001</v>
      </c>
    </row>
    <row r="39" spans="1:7" x14ac:dyDescent="0.3">
      <c r="A39" s="1">
        <v>41455</v>
      </c>
      <c r="B39">
        <v>54808.242059999997</v>
      </c>
      <c r="C39">
        <v>596147.99769999995</v>
      </c>
      <c r="D39">
        <v>133402.93040000001</v>
      </c>
      <c r="E39">
        <v>650956.23979999998</v>
      </c>
      <c r="G39" s="4">
        <v>650956.23976999999</v>
      </c>
    </row>
    <row r="40" spans="1:7" x14ac:dyDescent="0.3">
      <c r="A40" s="1">
        <v>41547</v>
      </c>
      <c r="B40">
        <v>55068.371619999998</v>
      </c>
      <c r="C40">
        <v>539949.05469999998</v>
      </c>
      <c r="D40">
        <v>136116.54180000001</v>
      </c>
      <c r="E40">
        <v>595017.42630000005</v>
      </c>
      <c r="G40" s="3">
        <v>595017.42633000005</v>
      </c>
    </row>
    <row r="41" spans="1:7" x14ac:dyDescent="0.3">
      <c r="A41" s="1">
        <v>41639</v>
      </c>
      <c r="B41">
        <v>55168.49108</v>
      </c>
      <c r="C41">
        <v>531949.82519999996</v>
      </c>
      <c r="D41">
        <v>136181.54949999999</v>
      </c>
      <c r="E41">
        <v>587118.31629999995</v>
      </c>
      <c r="G41" s="4">
        <v>587118.31625999999</v>
      </c>
    </row>
    <row r="42" spans="1:7" x14ac:dyDescent="0.3">
      <c r="A42" s="1">
        <v>41729</v>
      </c>
      <c r="B42">
        <v>55168.63205</v>
      </c>
      <c r="C42">
        <v>499371.23830000003</v>
      </c>
      <c r="D42">
        <v>116202.1767</v>
      </c>
      <c r="E42">
        <v>554539.87029999995</v>
      </c>
      <c r="G42" s="3">
        <v>554539.87032999995</v>
      </c>
    </row>
    <row r="43" spans="1:7" x14ac:dyDescent="0.3">
      <c r="A43" s="1">
        <v>41820</v>
      </c>
      <c r="B43">
        <v>56354.349459999998</v>
      </c>
      <c r="C43">
        <v>585743.83570000005</v>
      </c>
      <c r="D43">
        <v>126338.83500000001</v>
      </c>
      <c r="E43">
        <v>642098.18519999995</v>
      </c>
      <c r="G43" s="4">
        <v>642098.18518000003</v>
      </c>
    </row>
    <row r="44" spans="1:7" x14ac:dyDescent="0.3">
      <c r="A44" s="1">
        <v>41912</v>
      </c>
      <c r="B44">
        <v>56637.675430000003</v>
      </c>
      <c r="C44">
        <v>519818.99060000002</v>
      </c>
      <c r="D44">
        <v>126678.101</v>
      </c>
      <c r="E44">
        <v>576456.66599999997</v>
      </c>
      <c r="G44" s="3">
        <v>576456.66599000001</v>
      </c>
    </row>
    <row r="45" spans="1:7" x14ac:dyDescent="0.3">
      <c r="A45" s="1">
        <v>42004</v>
      </c>
      <c r="B45">
        <v>56908.677369999998</v>
      </c>
      <c r="C45">
        <v>518465.95549999998</v>
      </c>
      <c r="D45">
        <v>128014.95759999999</v>
      </c>
      <c r="E45">
        <v>575374.63280000002</v>
      </c>
      <c r="G45" s="4">
        <v>575374.63283999998</v>
      </c>
    </row>
    <row r="46" spans="1:7" x14ac:dyDescent="0.3">
      <c r="A46" s="1">
        <v>42094</v>
      </c>
      <c r="B46">
        <v>56846.306360000002</v>
      </c>
      <c r="C46">
        <v>501447.07980000001</v>
      </c>
      <c r="D46">
        <v>113313.4819</v>
      </c>
      <c r="E46">
        <v>558293.3861</v>
      </c>
      <c r="G46" s="3">
        <v>558293.38613</v>
      </c>
    </row>
    <row r="47" spans="1:7" x14ac:dyDescent="0.3">
      <c r="A47" s="1">
        <v>42185</v>
      </c>
      <c r="B47">
        <v>58361.980470000002</v>
      </c>
      <c r="C47">
        <v>610710.1727</v>
      </c>
      <c r="D47">
        <v>128678.4228</v>
      </c>
      <c r="E47">
        <v>669072.15319999994</v>
      </c>
      <c r="G47" s="4">
        <v>669072.15315000003</v>
      </c>
    </row>
    <row r="48" spans="1:7" x14ac:dyDescent="0.3">
      <c r="A48" s="1">
        <v>42277</v>
      </c>
      <c r="B48">
        <v>58836.64935</v>
      </c>
      <c r="C48">
        <v>538343.52390000003</v>
      </c>
      <c r="D48">
        <v>130450.09970000001</v>
      </c>
      <c r="E48">
        <v>597180.17330000002</v>
      </c>
      <c r="G48" s="3">
        <v>597180.17330000002</v>
      </c>
    </row>
    <row r="49" spans="1:7" x14ac:dyDescent="0.3">
      <c r="A49" s="1">
        <v>42369</v>
      </c>
      <c r="B49">
        <v>59092.2601</v>
      </c>
      <c r="C49">
        <v>528122.95429999998</v>
      </c>
      <c r="D49">
        <v>128600.5423</v>
      </c>
      <c r="E49">
        <v>587215.21440000006</v>
      </c>
      <c r="G49" s="4">
        <v>587215.21444000001</v>
      </c>
    </row>
    <row r="50" spans="1:7" x14ac:dyDescent="0.3">
      <c r="A50" s="1">
        <v>42460</v>
      </c>
      <c r="B50">
        <v>58944.036139999997</v>
      </c>
      <c r="C50">
        <v>499961.40870000003</v>
      </c>
      <c r="D50">
        <v>109845.3841</v>
      </c>
      <c r="E50">
        <v>558905.44480000006</v>
      </c>
      <c r="G50" s="3">
        <v>558905.44478999998</v>
      </c>
    </row>
    <row r="51" spans="1:7" x14ac:dyDescent="0.3">
      <c r="A51" s="1">
        <v>42551</v>
      </c>
      <c r="B51">
        <v>60002.095950000003</v>
      </c>
      <c r="C51">
        <v>582651.37789999996</v>
      </c>
      <c r="D51">
        <v>118643.43949999999</v>
      </c>
      <c r="E51">
        <v>642653.47380000004</v>
      </c>
      <c r="G51" s="4">
        <v>642653.47383999999</v>
      </c>
    </row>
    <row r="52" spans="1:7" x14ac:dyDescent="0.3">
      <c r="A52" s="1">
        <v>42643</v>
      </c>
      <c r="B52">
        <v>59961.460299999999</v>
      </c>
      <c r="C52">
        <v>518291.47989999998</v>
      </c>
      <c r="D52">
        <v>121051.71829999999</v>
      </c>
      <c r="E52">
        <v>578252.94019999995</v>
      </c>
      <c r="G52" s="3">
        <v>578252.94016</v>
      </c>
    </row>
    <row r="53" spans="1:7" x14ac:dyDescent="0.3">
      <c r="A53" s="1">
        <v>42735</v>
      </c>
      <c r="B53">
        <v>59922.540950000002</v>
      </c>
      <c r="C53">
        <v>518757.8222</v>
      </c>
      <c r="D53">
        <v>123437.9118</v>
      </c>
      <c r="E53">
        <v>578680.36320000002</v>
      </c>
      <c r="G53" s="4">
        <v>578680.36314999999</v>
      </c>
    </row>
    <row r="54" spans="1:7" x14ac:dyDescent="0.3">
      <c r="A54" s="1">
        <v>42825</v>
      </c>
      <c r="B54">
        <v>59480.735769999999</v>
      </c>
      <c r="C54">
        <v>502705.05249999999</v>
      </c>
      <c r="D54">
        <v>107280.1594</v>
      </c>
      <c r="E54">
        <v>562185.78830000001</v>
      </c>
      <c r="G54" s="3">
        <v>562185.78829000005</v>
      </c>
    </row>
    <row r="55" spans="1:7" x14ac:dyDescent="0.3">
      <c r="A55" s="1">
        <v>42916</v>
      </c>
      <c r="B55">
        <v>60659.41577</v>
      </c>
      <c r="C55">
        <v>596521.0551</v>
      </c>
      <c r="D55">
        <v>121930.70329999999</v>
      </c>
      <c r="E55">
        <v>657180.47080000001</v>
      </c>
      <c r="G55" s="4">
        <v>657180.47083000001</v>
      </c>
    </row>
    <row r="56" spans="1:7" x14ac:dyDescent="0.3">
      <c r="A56" s="1">
        <v>43008</v>
      </c>
      <c r="B56">
        <v>60596.662199999999</v>
      </c>
      <c r="C56">
        <v>537206.41079999995</v>
      </c>
      <c r="D56">
        <v>126997.3775</v>
      </c>
      <c r="E56">
        <v>597803.07310000004</v>
      </c>
      <c r="G56" s="3">
        <v>597803.07305000001</v>
      </c>
    </row>
    <row r="57" spans="1:7" x14ac:dyDescent="0.3">
      <c r="A57" s="1">
        <v>43100</v>
      </c>
      <c r="B57">
        <v>60591.309659999999</v>
      </c>
      <c r="C57">
        <v>541387.9388</v>
      </c>
      <c r="D57">
        <v>128945.0122</v>
      </c>
      <c r="E57">
        <v>601979.24849999999</v>
      </c>
      <c r="G57" s="4">
        <v>601979.24844999996</v>
      </c>
    </row>
    <row r="58" spans="1:7" x14ac:dyDescent="0.3">
      <c r="A58" s="1">
        <v>43190</v>
      </c>
      <c r="B58">
        <v>60369.305809999998</v>
      </c>
      <c r="C58">
        <v>520934.2414</v>
      </c>
      <c r="D58">
        <v>111168.9688</v>
      </c>
      <c r="E58">
        <v>581303.54720000003</v>
      </c>
      <c r="G58" s="3">
        <v>581303.54721999995</v>
      </c>
    </row>
    <row r="59" spans="1:7" x14ac:dyDescent="0.3">
      <c r="A59" s="1">
        <v>43281</v>
      </c>
      <c r="B59">
        <v>61249.808590000001</v>
      </c>
      <c r="C59">
        <v>565753.57149999996</v>
      </c>
      <c r="D59">
        <v>119605.8754</v>
      </c>
      <c r="E59">
        <v>627003.38009999995</v>
      </c>
      <c r="G59" s="4">
        <v>627003.38012999995</v>
      </c>
    </row>
    <row r="60" spans="1:7" x14ac:dyDescent="0.3">
      <c r="A60" s="1">
        <v>43373</v>
      </c>
      <c r="B60">
        <v>60898.038699999997</v>
      </c>
      <c r="C60">
        <v>518701.67580000003</v>
      </c>
      <c r="D60">
        <v>117542.4471</v>
      </c>
      <c r="E60">
        <v>579599.7145</v>
      </c>
      <c r="G60" s="3">
        <v>579599.7145</v>
      </c>
    </row>
    <row r="61" spans="1:7" x14ac:dyDescent="0.3">
      <c r="A61" s="1">
        <v>43465</v>
      </c>
      <c r="B61">
        <v>60829.727370000001</v>
      </c>
      <c r="C61">
        <v>505394.38540000003</v>
      </c>
      <c r="D61">
        <v>113524.72289999999</v>
      </c>
      <c r="E61">
        <v>566224.1128</v>
      </c>
      <c r="G61" s="4">
        <v>566224.11276000005</v>
      </c>
    </row>
    <row r="62" spans="1:7" x14ac:dyDescent="0.3">
      <c r="A62" s="1">
        <v>43555</v>
      </c>
      <c r="B62">
        <v>60428.044849999998</v>
      </c>
      <c r="C62">
        <v>490659.3664</v>
      </c>
      <c r="D62">
        <v>99095.199500000002</v>
      </c>
      <c r="E62">
        <v>551087.41130000004</v>
      </c>
      <c r="G62" s="3">
        <v>551087.41125999996</v>
      </c>
    </row>
    <row r="63" spans="1:7" x14ac:dyDescent="0.3">
      <c r="A63" s="1">
        <v>43646</v>
      </c>
      <c r="B63">
        <v>61572.153769999997</v>
      </c>
      <c r="C63">
        <v>574871.71290000004</v>
      </c>
      <c r="D63">
        <v>110734.3319</v>
      </c>
      <c r="E63">
        <v>636443.86659999995</v>
      </c>
      <c r="G63" s="4">
        <v>636443.86661000003</v>
      </c>
    </row>
    <row r="64" spans="1:7" x14ac:dyDescent="0.3">
      <c r="A64" s="1">
        <v>43738</v>
      </c>
      <c r="B64">
        <v>61483.600059999997</v>
      </c>
      <c r="C64">
        <v>507677.9742</v>
      </c>
      <c r="D64">
        <v>112260.14449999999</v>
      </c>
      <c r="E64">
        <v>569161.57429999998</v>
      </c>
      <c r="G64" s="3">
        <v>569161.57431000005</v>
      </c>
    </row>
    <row r="65" spans="1:7" x14ac:dyDescent="0.3">
      <c r="A65" s="1">
        <v>43830</v>
      </c>
      <c r="B65">
        <v>61484.388220000001</v>
      </c>
      <c r="C65">
        <v>497996.41019999998</v>
      </c>
      <c r="D65">
        <v>111318.8018</v>
      </c>
      <c r="E65">
        <v>559480.79839999997</v>
      </c>
      <c r="G65" s="4">
        <v>559480.79842999997</v>
      </c>
    </row>
    <row r="66" spans="1:7" x14ac:dyDescent="0.3">
      <c r="A66" s="1">
        <v>43921</v>
      </c>
      <c r="B66">
        <v>60499.432150000001</v>
      </c>
      <c r="C66">
        <v>463875.14860000001</v>
      </c>
      <c r="D66">
        <v>92780.928979999997</v>
      </c>
      <c r="E66">
        <v>524374.5808</v>
      </c>
      <c r="G66" s="3">
        <v>524374.5808</v>
      </c>
    </row>
    <row r="67" spans="1:7" x14ac:dyDescent="0.3">
      <c r="A67" s="1">
        <v>44012</v>
      </c>
      <c r="B67">
        <v>54064.276689999999</v>
      </c>
      <c r="C67">
        <v>459739.99609999999</v>
      </c>
      <c r="D67">
        <v>87129.595019999993</v>
      </c>
      <c r="E67">
        <v>513804.27279999998</v>
      </c>
      <c r="G67" s="4">
        <v>513804.27280999999</v>
      </c>
    </row>
    <row r="68" spans="1:7" x14ac:dyDescent="0.3">
      <c r="A68" s="1">
        <v>44104</v>
      </c>
      <c r="B68">
        <v>56365.029470000001</v>
      </c>
      <c r="C68">
        <v>455106.48119999998</v>
      </c>
      <c r="D68">
        <v>106644.7151</v>
      </c>
      <c r="E68">
        <v>511471.51059999998</v>
      </c>
      <c r="G68" s="3">
        <v>511471.51062000002</v>
      </c>
    </row>
    <row r="69" spans="1:7" x14ac:dyDescent="0.3">
      <c r="A69" s="1">
        <v>44196</v>
      </c>
      <c r="B69">
        <v>57551.501640000002</v>
      </c>
      <c r="C69">
        <v>479567.1164</v>
      </c>
      <c r="D69">
        <v>113496.1603</v>
      </c>
      <c r="E69">
        <v>537118.61809999996</v>
      </c>
      <c r="G69" s="4">
        <v>537118.61805000005</v>
      </c>
    </row>
    <row r="70" spans="1:7" x14ac:dyDescent="0.3">
      <c r="A70" s="1">
        <v>44286</v>
      </c>
      <c r="B70">
        <v>58612.806799999998</v>
      </c>
      <c r="C70">
        <v>481686.31689999998</v>
      </c>
      <c r="D70">
        <v>103881.92819999999</v>
      </c>
      <c r="E70">
        <v>540299.1237</v>
      </c>
      <c r="G70" s="3">
        <v>540299.12372000003</v>
      </c>
    </row>
    <row r="71" spans="1:7" x14ac:dyDescent="0.3">
      <c r="A71" s="1">
        <v>44377</v>
      </c>
      <c r="B71">
        <v>59306.476739999998</v>
      </c>
      <c r="C71">
        <v>552626.52469999995</v>
      </c>
      <c r="D71">
        <v>115891.52860000001</v>
      </c>
      <c r="E71">
        <v>611933.00139999995</v>
      </c>
      <c r="G71" s="4">
        <v>611933.00142999995</v>
      </c>
    </row>
    <row r="72" spans="1:7" x14ac:dyDescent="0.3">
      <c r="A72" s="1">
        <v>44469</v>
      </c>
      <c r="B72">
        <v>60300.271289999997</v>
      </c>
      <c r="C72">
        <v>510481.15500000003</v>
      </c>
      <c r="D72">
        <v>120122.34570000001</v>
      </c>
      <c r="E72">
        <v>570781.42630000005</v>
      </c>
      <c r="G72" s="3">
        <v>570781.42625999998</v>
      </c>
    </row>
    <row r="73" spans="1:7" x14ac:dyDescent="0.3">
      <c r="A73" s="1">
        <v>44561</v>
      </c>
      <c r="B73">
        <v>62416.134870000002</v>
      </c>
      <c r="C73">
        <v>519588.15610000002</v>
      </c>
      <c r="D73">
        <v>123243.24920000001</v>
      </c>
      <c r="E73">
        <v>582004.29099999997</v>
      </c>
      <c r="G73" s="4">
        <v>582004.29099999997</v>
      </c>
    </row>
    <row r="74" spans="1:7" x14ac:dyDescent="0.3">
      <c r="A74" s="1">
        <v>44651</v>
      </c>
      <c r="B74">
        <v>62628.987840000002</v>
      </c>
      <c r="C74">
        <v>512424.54450000002</v>
      </c>
      <c r="D74">
        <v>108521.20480000001</v>
      </c>
      <c r="E74">
        <v>575053.53229999996</v>
      </c>
      <c r="G74" s="3">
        <v>575053.53232999996</v>
      </c>
    </row>
    <row r="75" spans="1:7" x14ac:dyDescent="0.3">
      <c r="A75" s="1">
        <v>44742</v>
      </c>
      <c r="B75">
        <v>63587.454019999997</v>
      </c>
      <c r="C75">
        <v>590398.25390000001</v>
      </c>
      <c r="D75">
        <v>124292.3095</v>
      </c>
      <c r="E75">
        <v>653985.70790000004</v>
      </c>
      <c r="G75" s="4">
        <v>653985.70787000004</v>
      </c>
    </row>
    <row r="76" spans="1:7" x14ac:dyDescent="0.3">
      <c r="A76" s="1">
        <v>44834</v>
      </c>
      <c r="B76">
        <v>63578.277069999996</v>
      </c>
      <c r="C76">
        <v>538939.6997</v>
      </c>
      <c r="D76">
        <v>127476.0368</v>
      </c>
      <c r="E76">
        <v>602517.9767</v>
      </c>
      <c r="G76" s="3">
        <v>602517.97673999995</v>
      </c>
    </row>
    <row r="77" spans="1:7" x14ac:dyDescent="0.3">
      <c r="A77" s="1">
        <v>44926</v>
      </c>
      <c r="B77">
        <v>63465.984490000003</v>
      </c>
      <c r="C77">
        <v>524241.12719999999</v>
      </c>
      <c r="D77">
        <v>124744.7476</v>
      </c>
      <c r="E77">
        <v>587707.11170000001</v>
      </c>
      <c r="G77" s="4">
        <v>587707.11167999997</v>
      </c>
    </row>
    <row r="78" spans="1:7" x14ac:dyDescent="0.3">
      <c r="A78" s="1">
        <v>45016</v>
      </c>
      <c r="B78">
        <v>63859.925389999997</v>
      </c>
      <c r="C78">
        <v>519241.95559999999</v>
      </c>
      <c r="D78">
        <v>111764.1673</v>
      </c>
      <c r="E78">
        <v>583101.88100000005</v>
      </c>
      <c r="G78" s="3">
        <v>583101.88100000005</v>
      </c>
    </row>
    <row r="79" spans="1:7" x14ac:dyDescent="0.3">
      <c r="A79" s="1">
        <v>45107</v>
      </c>
      <c r="B79">
        <v>64985.759740000001</v>
      </c>
      <c r="C79">
        <v>550445.07900000003</v>
      </c>
      <c r="D79">
        <v>122336.74280000001</v>
      </c>
      <c r="E79">
        <v>615430.83869999996</v>
      </c>
      <c r="G79" s="4">
        <v>615430.83872999996</v>
      </c>
    </row>
    <row r="80" spans="1:7" x14ac:dyDescent="0.3">
      <c r="A80" s="1">
        <v>45199</v>
      </c>
      <c r="B80">
        <v>65015.982109999997</v>
      </c>
      <c r="C80">
        <v>536889.43610000005</v>
      </c>
      <c r="D80">
        <v>123800.656</v>
      </c>
      <c r="E80">
        <v>601905.41819999996</v>
      </c>
      <c r="G80" s="3">
        <v>601905.41822999995</v>
      </c>
    </row>
    <row r="81" spans="1:7" x14ac:dyDescent="0.3">
      <c r="A81" s="1">
        <v>45291</v>
      </c>
      <c r="B81">
        <v>64983.649259999998</v>
      </c>
      <c r="C81">
        <v>517102.5148</v>
      </c>
      <c r="D81">
        <v>117255.8416</v>
      </c>
      <c r="E81">
        <v>582086.16410000005</v>
      </c>
      <c r="G81" s="4">
        <v>582086.16408999998</v>
      </c>
    </row>
    <row r="82" spans="1:7" x14ac:dyDescent="0.3">
      <c r="A82" s="1">
        <v>45382</v>
      </c>
      <c r="B82">
        <v>64546.873290000003</v>
      </c>
      <c r="C82">
        <v>490868.11800000002</v>
      </c>
      <c r="D82">
        <v>96315.48014</v>
      </c>
      <c r="E82">
        <v>555414.99129999999</v>
      </c>
      <c r="G82" s="3">
        <v>555414.99127</v>
      </c>
    </row>
    <row r="83" spans="1:7" x14ac:dyDescent="0.3">
      <c r="A83" s="1">
        <v>45473</v>
      </c>
      <c r="B83">
        <v>64889.103020000002</v>
      </c>
      <c r="C83">
        <v>546830.75040000002</v>
      </c>
      <c r="D83">
        <v>101839.7061</v>
      </c>
      <c r="E83">
        <v>611719.85340000002</v>
      </c>
      <c r="G83" s="4">
        <v>611719.85340000002</v>
      </c>
    </row>
    <row r="84" spans="1:7" x14ac:dyDescent="0.3">
      <c r="A84" s="1">
        <v>45565</v>
      </c>
      <c r="B84">
        <v>64579.839970000001</v>
      </c>
      <c r="C84">
        <v>525002.06819999998</v>
      </c>
      <c r="D84">
        <v>116377.4231</v>
      </c>
      <c r="E84">
        <v>589581.90819999995</v>
      </c>
      <c r="G84" s="3">
        <v>589581.90816999995</v>
      </c>
    </row>
    <row r="85" spans="1:7" x14ac:dyDescent="0.3">
      <c r="A85" s="1">
        <v>45657</v>
      </c>
      <c r="B85">
        <v>64306.994700000003</v>
      </c>
      <c r="C85">
        <v>527836.46600000001</v>
      </c>
      <c r="D85">
        <v>118743.69500000001</v>
      </c>
      <c r="E85">
        <v>592143.4608</v>
      </c>
      <c r="G85" s="4">
        <v>592143.46074999997</v>
      </c>
    </row>
    <row r="86" spans="1:7" x14ac:dyDescent="0.3">
      <c r="A86" s="1">
        <v>45747</v>
      </c>
      <c r="B86">
        <v>64150.616260000003</v>
      </c>
      <c r="C86">
        <v>517804.62959999999</v>
      </c>
      <c r="D86">
        <v>101295.1112</v>
      </c>
      <c r="E86">
        <v>581955.24589999998</v>
      </c>
      <c r="G86" s="3">
        <v>581955.24584999995</v>
      </c>
    </row>
    <row r="87" spans="1:7" x14ac:dyDescent="0.3">
      <c r="A87" s="1">
        <v>45838</v>
      </c>
      <c r="B87">
        <v>64954.845090000003</v>
      </c>
      <c r="C87">
        <v>581772.45330000005</v>
      </c>
      <c r="D87">
        <v>108818.666</v>
      </c>
      <c r="E87">
        <v>646727.29839999997</v>
      </c>
      <c r="G87" s="4">
        <v>646727.29841000005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E11E-5A40-4204-8412-123A56463F90}">
  <dimension ref="A1:B56"/>
  <sheetViews>
    <sheetView zoomScale="77" workbookViewId="0">
      <selection activeCell="H21" sqref="H21"/>
    </sheetView>
  </sheetViews>
  <sheetFormatPr baseColWidth="10" defaultColWidth="11.44140625" defaultRowHeight="14.4" x14ac:dyDescent="0.3"/>
  <cols>
    <col min="1" max="1" width="11.109375" bestFit="1" customWidth="1"/>
    <col min="2" max="2" width="27.6640625" customWidth="1"/>
  </cols>
  <sheetData>
    <row r="1" spans="1:2" x14ac:dyDescent="0.3">
      <c r="A1" t="s">
        <v>0</v>
      </c>
      <c r="B1" t="s">
        <v>5</v>
      </c>
    </row>
    <row r="2" spans="1:2" x14ac:dyDescent="0.3">
      <c r="A2" s="12">
        <v>40999</v>
      </c>
      <c r="B2">
        <v>100</v>
      </c>
    </row>
    <row r="3" spans="1:2" x14ac:dyDescent="0.3">
      <c r="A3" s="13">
        <v>41090</v>
      </c>
      <c r="B3">
        <v>100.15118422009741</v>
      </c>
    </row>
    <row r="4" spans="1:2" x14ac:dyDescent="0.3">
      <c r="A4" s="12">
        <v>41182</v>
      </c>
      <c r="B4">
        <v>101.35478880191728</v>
      </c>
    </row>
    <row r="5" spans="1:2" x14ac:dyDescent="0.3">
      <c r="A5" s="13">
        <v>41274</v>
      </c>
      <c r="B5">
        <v>101.77181763716818</v>
      </c>
    </row>
    <row r="6" spans="1:2" x14ac:dyDescent="0.3">
      <c r="A6" s="12">
        <v>41364</v>
      </c>
      <c r="B6">
        <v>99.863436377811595</v>
      </c>
    </row>
    <row r="7" spans="1:2" x14ac:dyDescent="0.3">
      <c r="A7" s="13">
        <v>41455</v>
      </c>
      <c r="B7">
        <v>100.97326151344515</v>
      </c>
    </row>
    <row r="8" spans="1:2" x14ac:dyDescent="0.3">
      <c r="A8" s="12">
        <v>41547</v>
      </c>
      <c r="B8">
        <v>101.50670159619173</v>
      </c>
    </row>
    <row r="9" spans="1:2" x14ac:dyDescent="0.3">
      <c r="A9" s="13">
        <v>41639</v>
      </c>
      <c r="B9">
        <v>98.874001842338942</v>
      </c>
    </row>
    <row r="10" spans="1:2" x14ac:dyDescent="0.3">
      <c r="A10" s="12">
        <v>41729</v>
      </c>
      <c r="B10">
        <v>91.939254371068799</v>
      </c>
    </row>
    <row r="11" spans="1:2" x14ac:dyDescent="0.3">
      <c r="A11" s="13">
        <v>41820</v>
      </c>
      <c r="B11">
        <v>93.063002164418648</v>
      </c>
    </row>
    <row r="12" spans="1:2" x14ac:dyDescent="0.3">
      <c r="A12" s="12">
        <v>41912</v>
      </c>
      <c r="B12">
        <v>94.753743698245202</v>
      </c>
    </row>
    <row r="13" spans="1:2" x14ac:dyDescent="0.3">
      <c r="A13" s="13">
        <v>42004</v>
      </c>
      <c r="B13">
        <v>93.989291295830085</v>
      </c>
    </row>
    <row r="14" spans="1:2" x14ac:dyDescent="0.3">
      <c r="A14" s="12">
        <v>42094</v>
      </c>
      <c r="B14">
        <v>94.002496343115951</v>
      </c>
    </row>
    <row r="15" spans="1:2" x14ac:dyDescent="0.3">
      <c r="A15" s="13">
        <v>42185</v>
      </c>
      <c r="B15">
        <v>95.487384497393862</v>
      </c>
    </row>
    <row r="16" spans="1:2" x14ac:dyDescent="0.3">
      <c r="A16" s="12">
        <v>42277</v>
      </c>
      <c r="B16">
        <v>98.897881548089444</v>
      </c>
    </row>
    <row r="17" spans="1:2" x14ac:dyDescent="0.3">
      <c r="A17" s="13">
        <v>42369</v>
      </c>
      <c r="B17">
        <v>96.718663328046802</v>
      </c>
    </row>
    <row r="18" spans="1:2" x14ac:dyDescent="0.3">
      <c r="A18" s="12">
        <v>42460</v>
      </c>
      <c r="B18">
        <v>90.285536899640974</v>
      </c>
    </row>
    <row r="19" spans="1:2" x14ac:dyDescent="0.3">
      <c r="A19" s="13">
        <v>42551</v>
      </c>
      <c r="B19">
        <v>90.344502755599947</v>
      </c>
    </row>
    <row r="20" spans="1:2" x14ac:dyDescent="0.3">
      <c r="A20" s="12">
        <v>42643</v>
      </c>
      <c r="B20">
        <v>93.191876935060407</v>
      </c>
    </row>
    <row r="21" spans="1:2" x14ac:dyDescent="0.3">
      <c r="A21" s="13">
        <v>42735</v>
      </c>
      <c r="B21">
        <v>94.32044015540167</v>
      </c>
    </row>
    <row r="22" spans="1:2" x14ac:dyDescent="0.3">
      <c r="A22" s="12">
        <v>42825</v>
      </c>
      <c r="B22">
        <v>94.328489055551685</v>
      </c>
    </row>
    <row r="23" spans="1:2" x14ac:dyDescent="0.3">
      <c r="A23" s="13">
        <v>42916</v>
      </c>
      <c r="B23">
        <v>95.484674918735323</v>
      </c>
    </row>
    <row r="24" spans="1:2" x14ac:dyDescent="0.3">
      <c r="A24" s="12">
        <v>43008</v>
      </c>
      <c r="B24">
        <v>98.45110105410437</v>
      </c>
    </row>
    <row r="25" spans="1:2" x14ac:dyDescent="0.3">
      <c r="A25" s="13">
        <v>43100</v>
      </c>
      <c r="B25">
        <v>97.921399208082477</v>
      </c>
    </row>
    <row r="26" spans="1:2" x14ac:dyDescent="0.3">
      <c r="A26" s="12">
        <v>43190</v>
      </c>
      <c r="B26">
        <v>94.940708877569776</v>
      </c>
    </row>
    <row r="27" spans="1:2" x14ac:dyDescent="0.3">
      <c r="A27" s="13">
        <v>43281</v>
      </c>
      <c r="B27">
        <v>92.928777765540374</v>
      </c>
    </row>
    <row r="28" spans="1:2" x14ac:dyDescent="0.3">
      <c r="A28" s="12">
        <v>43373</v>
      </c>
      <c r="B28">
        <v>88.98338833137386</v>
      </c>
    </row>
    <row r="29" spans="1:2" x14ac:dyDescent="0.3">
      <c r="A29" s="13">
        <v>43465</v>
      </c>
      <c r="B29">
        <v>85.05900472411399</v>
      </c>
    </row>
    <row r="30" spans="1:2" x14ac:dyDescent="0.3">
      <c r="A30" s="12">
        <v>43555</v>
      </c>
      <c r="B30">
        <v>84.273179991412263</v>
      </c>
    </row>
    <row r="31" spans="1:2" x14ac:dyDescent="0.3">
      <c r="A31" s="13">
        <v>43646</v>
      </c>
      <c r="B31">
        <v>82.283311642669076</v>
      </c>
    </row>
    <row r="32" spans="1:2" x14ac:dyDescent="0.3">
      <c r="A32" s="12">
        <v>43738</v>
      </c>
      <c r="B32">
        <v>82.215558430737048</v>
      </c>
    </row>
    <row r="33" spans="1:2" x14ac:dyDescent="0.3">
      <c r="A33" s="13">
        <v>43830</v>
      </c>
      <c r="B33">
        <v>78.844682647967446</v>
      </c>
    </row>
    <row r="34" spans="1:2" x14ac:dyDescent="0.3">
      <c r="A34" s="12">
        <v>43921</v>
      </c>
      <c r="B34">
        <v>81.520379046647548</v>
      </c>
    </row>
    <row r="35" spans="1:2" x14ac:dyDescent="0.3">
      <c r="A35" s="13">
        <v>44012</v>
      </c>
      <c r="B35">
        <v>79.497667872886382</v>
      </c>
    </row>
    <row r="36" spans="1:2" x14ac:dyDescent="0.3">
      <c r="A36" s="12">
        <v>44104</v>
      </c>
      <c r="B36">
        <v>77.665693999339368</v>
      </c>
    </row>
    <row r="37" spans="1:2" x14ac:dyDescent="0.3">
      <c r="A37" s="13">
        <v>44196</v>
      </c>
      <c r="B37">
        <v>77.073149202739614</v>
      </c>
    </row>
    <row r="38" spans="1:2" x14ac:dyDescent="0.3">
      <c r="A38" s="12">
        <v>44286</v>
      </c>
      <c r="B38">
        <v>75.833121425218479</v>
      </c>
    </row>
    <row r="39" spans="1:2" x14ac:dyDescent="0.3">
      <c r="A39" s="13">
        <v>44377</v>
      </c>
      <c r="B39">
        <v>75.033138856094766</v>
      </c>
    </row>
    <row r="40" spans="1:2" x14ac:dyDescent="0.3">
      <c r="A40" s="12">
        <v>44469</v>
      </c>
      <c r="B40">
        <v>76.331677503716776</v>
      </c>
    </row>
    <row r="41" spans="1:2" x14ac:dyDescent="0.3">
      <c r="A41" s="13">
        <v>44561</v>
      </c>
      <c r="B41">
        <v>77.492595670959815</v>
      </c>
    </row>
    <row r="42" spans="1:2" x14ac:dyDescent="0.3">
      <c r="A42" s="12">
        <v>44651</v>
      </c>
      <c r="B42">
        <v>76.51243418304918</v>
      </c>
    </row>
    <row r="43" spans="1:2" x14ac:dyDescent="0.3">
      <c r="A43" s="13">
        <v>44742</v>
      </c>
      <c r="B43">
        <v>76.113475557463843</v>
      </c>
    </row>
    <row r="44" spans="1:2" x14ac:dyDescent="0.3">
      <c r="A44" s="12">
        <v>44834</v>
      </c>
      <c r="B44">
        <v>74.774062141725722</v>
      </c>
    </row>
    <row r="45" spans="1:2" x14ac:dyDescent="0.3">
      <c r="A45" s="13">
        <v>44926</v>
      </c>
      <c r="B45">
        <v>74.959871886022697</v>
      </c>
    </row>
    <row r="46" spans="1:2" x14ac:dyDescent="0.3">
      <c r="A46" s="12">
        <v>45016</v>
      </c>
      <c r="B46">
        <v>74.776828700883016</v>
      </c>
    </row>
    <row r="47" spans="1:2" x14ac:dyDescent="0.3">
      <c r="A47" s="13">
        <v>45107</v>
      </c>
      <c r="B47">
        <v>73.739207515830856</v>
      </c>
    </row>
    <row r="48" spans="1:2" x14ac:dyDescent="0.3">
      <c r="A48" s="12">
        <v>45199</v>
      </c>
      <c r="B48">
        <v>74.534087727463699</v>
      </c>
    </row>
    <row r="49" spans="1:2" x14ac:dyDescent="0.3">
      <c r="A49" s="13">
        <v>45291</v>
      </c>
      <c r="B49">
        <v>68.255557937082344</v>
      </c>
    </row>
    <row r="50" spans="1:2" x14ac:dyDescent="0.3">
      <c r="A50" s="12">
        <v>45382</v>
      </c>
      <c r="B50">
        <v>58.996935865886478</v>
      </c>
    </row>
    <row r="51" spans="1:2" x14ac:dyDescent="0.3">
      <c r="A51" s="13">
        <v>45473</v>
      </c>
      <c r="B51">
        <v>61.351741444123533</v>
      </c>
    </row>
    <row r="52" spans="1:2" x14ac:dyDescent="0.3">
      <c r="A52" s="12">
        <v>45565</v>
      </c>
      <c r="B52">
        <v>65.727893375572066</v>
      </c>
    </row>
    <row r="53" spans="1:2" x14ac:dyDescent="0.3">
      <c r="A53" s="13">
        <v>45657</v>
      </c>
      <c r="B53">
        <v>68.509400312574769</v>
      </c>
    </row>
    <row r="54" spans="1:2" x14ac:dyDescent="0.3">
      <c r="A54" s="12">
        <v>45747</v>
      </c>
      <c r="B54">
        <v>69.967852989144362</v>
      </c>
    </row>
    <row r="55" spans="1:2" x14ac:dyDescent="0.3">
      <c r="A55" s="13">
        <v>45838</v>
      </c>
      <c r="B55">
        <v>71.361445339012846</v>
      </c>
    </row>
    <row r="56" spans="1:2" x14ac:dyDescent="0.3">
      <c r="B56">
        <v>73.401481182709844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415A-019B-466C-9701-5BBCC8983232}">
  <dimension ref="A1:C81"/>
  <sheetViews>
    <sheetView zoomScaleNormal="100" workbookViewId="0">
      <selection activeCell="C15" sqref="C15"/>
    </sheetView>
  </sheetViews>
  <sheetFormatPr baseColWidth="10" defaultColWidth="11.44140625" defaultRowHeight="14.4" x14ac:dyDescent="0.3"/>
  <cols>
    <col min="1" max="1" width="11.109375" bestFit="1" customWidth="1"/>
    <col min="2" max="3" width="16.33203125" bestFit="1" customWidth="1"/>
  </cols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s="1">
        <v>38717</v>
      </c>
      <c r="B2">
        <v>92.956761691005639</v>
      </c>
      <c r="C2">
        <v>89.360636094377028</v>
      </c>
    </row>
    <row r="3" spans="1:3" x14ac:dyDescent="0.3">
      <c r="A3" s="1">
        <v>38807</v>
      </c>
      <c r="B3">
        <v>94.701415270902842</v>
      </c>
      <c r="C3">
        <v>87.963153425950765</v>
      </c>
    </row>
    <row r="4" spans="1:3" x14ac:dyDescent="0.3">
      <c r="A4" s="1">
        <v>38898</v>
      </c>
      <c r="B4">
        <v>97.764404811901628</v>
      </c>
      <c r="C4">
        <v>87.685878364800914</v>
      </c>
    </row>
    <row r="5" spans="1:3" x14ac:dyDescent="0.3">
      <c r="A5" s="1">
        <v>38990</v>
      </c>
      <c r="B5">
        <v>102.11356964222556</v>
      </c>
      <c r="C5">
        <v>91.083331319731926</v>
      </c>
    </row>
    <row r="6" spans="1:3" x14ac:dyDescent="0.3">
      <c r="A6" s="1">
        <v>39082</v>
      </c>
      <c r="B6">
        <v>103.8097118328199</v>
      </c>
      <c r="C6">
        <v>95.917003333755162</v>
      </c>
    </row>
    <row r="7" spans="1:3" x14ac:dyDescent="0.3">
      <c r="A7" s="1">
        <v>39172</v>
      </c>
      <c r="B7">
        <v>103.49801043359051</v>
      </c>
      <c r="C7">
        <v>95.399588732835497</v>
      </c>
    </row>
    <row r="8" spans="1:3" x14ac:dyDescent="0.3">
      <c r="A8" s="1">
        <v>39263</v>
      </c>
      <c r="B8">
        <v>102.56886891829706</v>
      </c>
      <c r="C8">
        <v>94.21705574056503</v>
      </c>
    </row>
    <row r="9" spans="1:3" x14ac:dyDescent="0.3">
      <c r="A9" s="1">
        <v>39355</v>
      </c>
      <c r="B9">
        <v>100.53908984870839</v>
      </c>
      <c r="C9">
        <v>98.519677538420822</v>
      </c>
    </row>
    <row r="10" spans="1:3" x14ac:dyDescent="0.3">
      <c r="A10" s="1">
        <v>39447</v>
      </c>
      <c r="B10">
        <v>101.50693927107015</v>
      </c>
      <c r="C10">
        <v>100.17525849444637</v>
      </c>
    </row>
    <row r="11" spans="1:3" x14ac:dyDescent="0.3">
      <c r="A11" s="1">
        <v>39538</v>
      </c>
      <c r="B11">
        <v>95.501104009080777</v>
      </c>
      <c r="C11">
        <v>98.482645977431943</v>
      </c>
    </row>
    <row r="12" spans="1:3" x14ac:dyDescent="0.3">
      <c r="A12" s="1">
        <v>39629</v>
      </c>
      <c r="B12">
        <v>94.975193015408337</v>
      </c>
      <c r="C12">
        <v>94.327394721451569</v>
      </c>
    </row>
    <row r="13" spans="1:3" x14ac:dyDescent="0.3">
      <c r="A13" s="1">
        <v>39721</v>
      </c>
      <c r="B13">
        <v>97.963401197570562</v>
      </c>
      <c r="C13">
        <v>99.578261605681845</v>
      </c>
    </row>
    <row r="14" spans="1:3" x14ac:dyDescent="0.3">
      <c r="A14" s="1">
        <v>39813</v>
      </c>
      <c r="B14">
        <v>100.22517317559409</v>
      </c>
      <c r="C14">
        <v>101.20162659970227</v>
      </c>
    </row>
    <row r="15" spans="1:3" x14ac:dyDescent="0.3">
      <c r="A15" s="1">
        <v>39903</v>
      </c>
      <c r="B15">
        <v>100</v>
      </c>
      <c r="C15">
        <v>100</v>
      </c>
    </row>
    <row r="16" spans="1:3" x14ac:dyDescent="0.3">
      <c r="A16" s="1">
        <v>39994</v>
      </c>
      <c r="B16">
        <v>99.324695115743538</v>
      </c>
      <c r="C16">
        <v>97.087729229231471</v>
      </c>
    </row>
    <row r="17" spans="1:3" x14ac:dyDescent="0.3">
      <c r="A17" s="1">
        <v>40086</v>
      </c>
      <c r="B17">
        <v>101.59325105506241</v>
      </c>
      <c r="C17">
        <v>98.613013538203447</v>
      </c>
    </row>
    <row r="18" spans="1:3" x14ac:dyDescent="0.3">
      <c r="A18" s="1">
        <v>40178</v>
      </c>
      <c r="B18">
        <v>100.88855091365782</v>
      </c>
      <c r="C18">
        <v>97.9463266106264</v>
      </c>
    </row>
    <row r="19" spans="1:3" x14ac:dyDescent="0.3">
      <c r="A19" s="1">
        <v>40268</v>
      </c>
      <c r="B19">
        <v>96.9093110566332</v>
      </c>
      <c r="C19">
        <v>91.307914455459553</v>
      </c>
    </row>
    <row r="20" spans="1:3" x14ac:dyDescent="0.3">
      <c r="A20" s="1">
        <v>40359</v>
      </c>
      <c r="B20">
        <v>97.320353163749658</v>
      </c>
      <c r="C20">
        <v>90.815722867735261</v>
      </c>
    </row>
    <row r="21" spans="1:3" x14ac:dyDescent="0.3">
      <c r="A21" s="1">
        <v>40451</v>
      </c>
      <c r="B21">
        <v>102.28463806174517</v>
      </c>
      <c r="C21">
        <v>94.63041102714736</v>
      </c>
    </row>
    <row r="22" spans="1:3" x14ac:dyDescent="0.3">
      <c r="A22" s="1">
        <v>40543</v>
      </c>
      <c r="B22">
        <v>101.63881820684122</v>
      </c>
      <c r="C22">
        <v>93.211749957020416</v>
      </c>
    </row>
    <row r="23" spans="1:3" x14ac:dyDescent="0.3">
      <c r="A23" s="1">
        <v>40633</v>
      </c>
      <c r="B23">
        <v>101.40647177784902</v>
      </c>
      <c r="C23">
        <v>89.84716573653931</v>
      </c>
    </row>
    <row r="24" spans="1:3" x14ac:dyDescent="0.3">
      <c r="A24" s="1">
        <v>40724</v>
      </c>
      <c r="B24">
        <v>102.86357482524144</v>
      </c>
      <c r="C24">
        <v>85.72625103406007</v>
      </c>
    </row>
    <row r="25" spans="1:3" x14ac:dyDescent="0.3">
      <c r="A25" s="1">
        <v>40816</v>
      </c>
      <c r="B25">
        <v>109.37068608466109</v>
      </c>
      <c r="C25">
        <v>85.098517831283544</v>
      </c>
    </row>
    <row r="26" spans="1:3" x14ac:dyDescent="0.3">
      <c r="A26" s="1">
        <v>40908</v>
      </c>
      <c r="B26">
        <v>110.6605553081321</v>
      </c>
      <c r="C26">
        <v>82.819289951203629</v>
      </c>
    </row>
    <row r="27" spans="1:3" x14ac:dyDescent="0.3">
      <c r="A27" s="1">
        <v>40999</v>
      </c>
      <c r="B27">
        <v>110.36323858638329</v>
      </c>
      <c r="C27">
        <v>79.263021771302505</v>
      </c>
    </row>
    <row r="28" spans="1:3" x14ac:dyDescent="0.3">
      <c r="A28" s="1">
        <v>41090</v>
      </c>
      <c r="B28">
        <v>110.98378719598998</v>
      </c>
      <c r="C28">
        <v>79.29605337172174</v>
      </c>
    </row>
    <row r="29" spans="1:3" x14ac:dyDescent="0.3">
      <c r="A29" s="1">
        <v>41182</v>
      </c>
      <c r="B29">
        <v>113.00407179821184</v>
      </c>
      <c r="C29">
        <v>78.824783674228144</v>
      </c>
    </row>
    <row r="30" spans="1:3" x14ac:dyDescent="0.3">
      <c r="A30" s="1">
        <v>41274</v>
      </c>
      <c r="B30">
        <v>113.14407125054589</v>
      </c>
      <c r="C30">
        <v>78.366249611999734</v>
      </c>
    </row>
    <row r="31" spans="1:3" x14ac:dyDescent="0.3">
      <c r="A31" s="1">
        <v>41364</v>
      </c>
      <c r="B31">
        <v>110.50557312580057</v>
      </c>
      <c r="C31">
        <v>76.547940989419942</v>
      </c>
    </row>
    <row r="32" spans="1:3" x14ac:dyDescent="0.3">
      <c r="A32" s="1">
        <v>41455</v>
      </c>
      <c r="B32">
        <v>111.31244411117318</v>
      </c>
      <c r="C32">
        <v>78.254969691317996</v>
      </c>
    </row>
    <row r="33" spans="1:3" x14ac:dyDescent="0.3">
      <c r="A33" s="1">
        <v>41547</v>
      </c>
      <c r="B33">
        <v>112.85121673054603</v>
      </c>
      <c r="C33">
        <v>78.463195692378164</v>
      </c>
    </row>
    <row r="34" spans="1:3" x14ac:dyDescent="0.3">
      <c r="A34" s="1">
        <v>41639</v>
      </c>
      <c r="B34">
        <v>109.18867410514301</v>
      </c>
      <c r="C34">
        <v>76.02083118977967</v>
      </c>
    </row>
    <row r="35" spans="1:3" x14ac:dyDescent="0.3">
      <c r="A35" s="1">
        <v>41729</v>
      </c>
      <c r="B35">
        <v>99.876153250981716</v>
      </c>
      <c r="C35">
        <v>71.655336969755041</v>
      </c>
    </row>
    <row r="36" spans="1:3" x14ac:dyDescent="0.3">
      <c r="A36" s="1">
        <v>41820</v>
      </c>
      <c r="B36">
        <v>100.78102073200779</v>
      </c>
      <c r="C36">
        <v>71.995514051145122</v>
      </c>
    </row>
    <row r="37" spans="1:3" x14ac:dyDescent="0.3">
      <c r="A37" s="1">
        <v>41912</v>
      </c>
      <c r="B37">
        <v>102.60374661587093</v>
      </c>
      <c r="C37">
        <v>73.820867761041669</v>
      </c>
    </row>
    <row r="38" spans="1:3" x14ac:dyDescent="0.3">
      <c r="A38" s="1">
        <v>42004</v>
      </c>
      <c r="B38">
        <v>102.19457443319241</v>
      </c>
      <c r="C38">
        <v>72.293909853283139</v>
      </c>
    </row>
    <row r="39" spans="1:3" x14ac:dyDescent="0.3">
      <c r="A39" s="1">
        <v>42094</v>
      </c>
      <c r="B39">
        <v>100.32225820330424</v>
      </c>
      <c r="C39">
        <v>73.565801175598139</v>
      </c>
    </row>
    <row r="40" spans="1:3" x14ac:dyDescent="0.3">
      <c r="A40" s="1">
        <v>42185</v>
      </c>
      <c r="B40">
        <v>101.49745066140581</v>
      </c>
      <c r="C40">
        <v>76.468188397941219</v>
      </c>
    </row>
    <row r="41" spans="1:3" x14ac:dyDescent="0.3">
      <c r="A41" s="1">
        <v>42277</v>
      </c>
      <c r="B41">
        <v>105.58305908365409</v>
      </c>
      <c r="C41">
        <v>78.289183688341623</v>
      </c>
    </row>
    <row r="42" spans="1:3" x14ac:dyDescent="0.3">
      <c r="A42" s="1">
        <v>42369</v>
      </c>
      <c r="B42">
        <v>103.4978127456031</v>
      </c>
      <c r="C42">
        <v>75.92268328425493</v>
      </c>
    </row>
    <row r="43" spans="1:3" x14ac:dyDescent="0.3">
      <c r="A43" s="1">
        <v>42460</v>
      </c>
      <c r="B43">
        <v>96.835939148939943</v>
      </c>
      <c r="C43">
        <v>70.493358102258441</v>
      </c>
    </row>
    <row r="44" spans="1:3" x14ac:dyDescent="0.3">
      <c r="A44" s="1">
        <v>42551</v>
      </c>
      <c r="B44">
        <v>97.325299272786864</v>
      </c>
      <c r="C44">
        <v>69.811649692642149</v>
      </c>
    </row>
    <row r="45" spans="1:3" x14ac:dyDescent="0.3">
      <c r="A45" s="1">
        <v>42643</v>
      </c>
      <c r="B45">
        <v>99.106496199271177</v>
      </c>
      <c r="C45">
        <v>74.208528865504618</v>
      </c>
    </row>
    <row r="46" spans="1:3" x14ac:dyDescent="0.3">
      <c r="A46" s="1">
        <v>42735</v>
      </c>
      <c r="B46">
        <v>101.28787886057076</v>
      </c>
      <c r="C46">
        <v>73.55439660165402</v>
      </c>
    </row>
    <row r="47" spans="1:3" x14ac:dyDescent="0.3">
      <c r="A47" s="1">
        <v>42825</v>
      </c>
      <c r="B47">
        <v>102.52040563389929</v>
      </c>
      <c r="C47">
        <v>72.330587067407819</v>
      </c>
    </row>
    <row r="48" spans="1:3" x14ac:dyDescent="0.3">
      <c r="A48" s="1">
        <v>42916</v>
      </c>
      <c r="B48">
        <v>102.91745599444407</v>
      </c>
      <c r="C48">
        <v>73.49694254931714</v>
      </c>
    </row>
    <row r="49" spans="1:3" x14ac:dyDescent="0.3">
      <c r="A49" s="1">
        <v>43008</v>
      </c>
      <c r="B49">
        <v>106.30178533641094</v>
      </c>
      <c r="C49">
        <v>75.509106881935978</v>
      </c>
    </row>
    <row r="50" spans="1:3" x14ac:dyDescent="0.3">
      <c r="A50" s="1">
        <v>43100</v>
      </c>
      <c r="B50">
        <v>105.26896111664499</v>
      </c>
      <c r="C50">
        <v>75.149636547827683</v>
      </c>
    </row>
    <row r="51" spans="1:3" x14ac:dyDescent="0.3">
      <c r="A51" s="1">
        <v>43190</v>
      </c>
      <c r="B51">
        <v>102.19704871091034</v>
      </c>
      <c r="C51">
        <v>72.06791657566086</v>
      </c>
    </row>
    <row r="52" spans="1:3" x14ac:dyDescent="0.3">
      <c r="A52" s="1">
        <v>43281</v>
      </c>
      <c r="B52">
        <v>101.27894431451223</v>
      </c>
      <c r="C52">
        <v>70.262384777679017</v>
      </c>
    </row>
    <row r="53" spans="1:3" x14ac:dyDescent="0.3">
      <c r="A53" s="1">
        <v>43373</v>
      </c>
      <c r="B53">
        <v>97.218083381921133</v>
      </c>
      <c r="C53">
        <v>67.881100719011926</v>
      </c>
    </row>
    <row r="54" spans="1:3" x14ac:dyDescent="0.3">
      <c r="A54" s="1">
        <v>43465</v>
      </c>
      <c r="B54">
        <v>92.285764893590894</v>
      </c>
      <c r="C54">
        <v>65.399505116423981</v>
      </c>
    </row>
    <row r="55" spans="1:3" x14ac:dyDescent="0.3">
      <c r="A55" s="1">
        <v>43555</v>
      </c>
      <c r="B55">
        <v>91.185815649013463</v>
      </c>
      <c r="C55">
        <v>64.547133310386542</v>
      </c>
    </row>
    <row r="56" spans="1:3" x14ac:dyDescent="0.3">
      <c r="A56" s="1">
        <v>43646</v>
      </c>
      <c r="B56">
        <v>90.316096653228612</v>
      </c>
      <c r="C56">
        <v>63.321551768853482</v>
      </c>
    </row>
    <row r="57" spans="1:3" x14ac:dyDescent="0.3">
      <c r="A57" s="1">
        <v>43738</v>
      </c>
      <c r="B57">
        <v>90.841969531812708</v>
      </c>
      <c r="C57">
        <v>64.025346025728652</v>
      </c>
    </row>
    <row r="58" spans="1:3" x14ac:dyDescent="0.3">
      <c r="A58" s="1">
        <v>43830</v>
      </c>
      <c r="B58">
        <v>87.562706025284911</v>
      </c>
      <c r="C58">
        <v>61.287548797543344</v>
      </c>
    </row>
    <row r="59" spans="1:3" x14ac:dyDescent="0.3">
      <c r="A59" s="1">
        <v>43921</v>
      </c>
      <c r="B59">
        <v>92.398389803643582</v>
      </c>
      <c r="C59">
        <v>61.223426269455963</v>
      </c>
    </row>
    <row r="60" spans="1:3" x14ac:dyDescent="0.3">
      <c r="A60" s="1">
        <v>44012</v>
      </c>
      <c r="B60">
        <v>89.297074806198836</v>
      </c>
      <c r="C60">
        <v>60.469561072818259</v>
      </c>
    </row>
    <row r="61" spans="1:3" x14ac:dyDescent="0.3">
      <c r="A61" s="1">
        <v>44104</v>
      </c>
      <c r="B61">
        <v>86.4496789924372</v>
      </c>
      <c r="C61">
        <v>58.554950156457252</v>
      </c>
    </row>
    <row r="62" spans="1:3" x14ac:dyDescent="0.3">
      <c r="A62" s="1">
        <v>44196</v>
      </c>
      <c r="B62">
        <v>86.24289113907686</v>
      </c>
      <c r="C62">
        <v>57.155379363065443</v>
      </c>
    </row>
    <row r="63" spans="1:3" x14ac:dyDescent="0.3">
      <c r="A63" s="1">
        <v>44286</v>
      </c>
      <c r="B63">
        <v>85.364013184611366</v>
      </c>
      <c r="C63">
        <v>56.007050568423487</v>
      </c>
    </row>
    <row r="64" spans="1:3" x14ac:dyDescent="0.3">
      <c r="A64" s="1">
        <v>44377</v>
      </c>
      <c r="B64">
        <v>85.579562258402646</v>
      </c>
      <c r="C64">
        <v>55.62642705610935</v>
      </c>
    </row>
    <row r="65" spans="1:3" x14ac:dyDescent="0.3">
      <c r="A65" s="1">
        <v>44469</v>
      </c>
      <c r="B65">
        <v>87.138628437725814</v>
      </c>
      <c r="C65">
        <v>58.353097437188971</v>
      </c>
    </row>
    <row r="66" spans="1:3" x14ac:dyDescent="0.3">
      <c r="A66" s="1">
        <v>44561</v>
      </c>
      <c r="B66">
        <v>88.00590585516747</v>
      </c>
      <c r="C66">
        <v>59.589299707381606</v>
      </c>
    </row>
    <row r="67" spans="1:3" x14ac:dyDescent="0.3">
      <c r="A67" s="1">
        <v>44651</v>
      </c>
      <c r="B67">
        <v>87.012237460498227</v>
      </c>
      <c r="C67">
        <v>58.735391766283776</v>
      </c>
    </row>
    <row r="68" spans="1:3" x14ac:dyDescent="0.3">
      <c r="A68" s="1">
        <v>44742</v>
      </c>
      <c r="B68">
        <v>86.686926150558151</v>
      </c>
      <c r="C68">
        <v>58.763508698166902</v>
      </c>
    </row>
    <row r="69" spans="1:3" x14ac:dyDescent="0.3">
      <c r="A69" s="1">
        <v>44834</v>
      </c>
      <c r="B69">
        <v>85.966843115430663</v>
      </c>
      <c r="C69">
        <v>58.026939883016404</v>
      </c>
    </row>
    <row r="70" spans="1:3" x14ac:dyDescent="0.3">
      <c r="A70" s="1">
        <v>44926</v>
      </c>
      <c r="B70">
        <v>86.39621430766762</v>
      </c>
      <c r="C70">
        <v>58.927736697041468</v>
      </c>
    </row>
    <row r="71" spans="1:3" x14ac:dyDescent="0.3">
      <c r="A71" s="1">
        <v>45016</v>
      </c>
      <c r="B71">
        <v>85.754650518563494</v>
      </c>
      <c r="C71">
        <v>59.871181558822869</v>
      </c>
    </row>
    <row r="72" spans="1:3" x14ac:dyDescent="0.3">
      <c r="A72" s="1">
        <v>45107</v>
      </c>
      <c r="B72">
        <v>84.845804675918302</v>
      </c>
      <c r="C72">
        <v>60.226206395767313</v>
      </c>
    </row>
    <row r="73" spans="1:3" x14ac:dyDescent="0.3">
      <c r="A73" s="1">
        <v>45199</v>
      </c>
      <c r="B73">
        <v>86.320917316597018</v>
      </c>
      <c r="C73">
        <v>61.564042562452279</v>
      </c>
    </row>
    <row r="74" spans="1:3" x14ac:dyDescent="0.3">
      <c r="A74" s="1">
        <v>45291</v>
      </c>
      <c r="B74">
        <v>81.163872411113573</v>
      </c>
      <c r="C74">
        <v>55.33777704404941</v>
      </c>
    </row>
    <row r="75" spans="1:3" x14ac:dyDescent="0.3">
      <c r="A75" s="1">
        <v>45382</v>
      </c>
      <c r="B75">
        <v>73.770927617562094</v>
      </c>
      <c r="C75">
        <v>45.427583549715756</v>
      </c>
    </row>
    <row r="76" spans="1:3" x14ac:dyDescent="0.3">
      <c r="A76" s="1">
        <v>45473</v>
      </c>
      <c r="B76">
        <v>77.831417985464086</v>
      </c>
      <c r="C76">
        <v>46.209574648871978</v>
      </c>
    </row>
    <row r="77" spans="1:3" x14ac:dyDescent="0.3">
      <c r="A77" s="1">
        <v>45565</v>
      </c>
      <c r="B77">
        <v>81.980308236119882</v>
      </c>
      <c r="C77">
        <v>48.030929376694147</v>
      </c>
    </row>
    <row r="78" spans="1:3" x14ac:dyDescent="0.3">
      <c r="A78" s="1">
        <v>45657</v>
      </c>
      <c r="B78">
        <v>83.860095882194841</v>
      </c>
      <c r="C78">
        <v>48.955270379839817</v>
      </c>
    </row>
    <row r="79" spans="1:3" x14ac:dyDescent="0.3">
      <c r="A79" s="1">
        <v>45747</v>
      </c>
      <c r="B79">
        <v>83.739161054365795</v>
      </c>
      <c r="C79">
        <v>48.651505134234249</v>
      </c>
    </row>
    <row r="80" spans="1:3" x14ac:dyDescent="0.3">
      <c r="A80" s="1">
        <v>45838</v>
      </c>
      <c r="B80">
        <v>82.953465233362095</v>
      </c>
      <c r="C80">
        <v>49.101107534786685</v>
      </c>
    </row>
    <row r="81" spans="1:1" x14ac:dyDescent="0.3">
      <c r="A81" s="1">
        <v>45930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6A8-AFF6-4D66-8293-E9AC1012137B}">
  <dimension ref="A1:N307"/>
  <sheetViews>
    <sheetView workbookViewId="0">
      <selection activeCell="E5" sqref="E5"/>
    </sheetView>
  </sheetViews>
  <sheetFormatPr baseColWidth="10" defaultColWidth="11.44140625" defaultRowHeight="14.4" x14ac:dyDescent="0.3"/>
  <cols>
    <col min="1" max="1" width="11.109375" bestFit="1" customWidth="1"/>
    <col min="2" max="2" width="19.109375" bestFit="1" customWidth="1"/>
  </cols>
  <sheetData>
    <row r="1" spans="1:14" x14ac:dyDescent="0.3">
      <c r="A1" t="s">
        <v>0</v>
      </c>
      <c r="B1" t="s">
        <v>8</v>
      </c>
      <c r="J1" t="s">
        <v>50</v>
      </c>
      <c r="N1" s="36"/>
    </row>
    <row r="2" spans="1:14" x14ac:dyDescent="0.3">
      <c r="A2" s="1">
        <v>38352</v>
      </c>
      <c r="B2">
        <v>92.12503230862869</v>
      </c>
      <c r="G2" s="35">
        <v>38261</v>
      </c>
      <c r="H2" s="37">
        <v>31033</v>
      </c>
      <c r="I2" s="13">
        <v>38352</v>
      </c>
      <c r="J2">
        <v>36830.666666666664</v>
      </c>
      <c r="K2">
        <f>+(J2/$J$19)*100</f>
        <v>92.12503230862869</v>
      </c>
      <c r="N2" s="37"/>
    </row>
    <row r="3" spans="1:14" x14ac:dyDescent="0.3">
      <c r="A3" s="1">
        <v>38442</v>
      </c>
      <c r="B3">
        <v>82.692580271309097</v>
      </c>
      <c r="G3" s="34">
        <v>38292</v>
      </c>
      <c r="H3" s="36">
        <v>31475</v>
      </c>
      <c r="I3" s="12">
        <v>38442</v>
      </c>
      <c r="J3">
        <v>33059.666666666664</v>
      </c>
      <c r="K3">
        <f t="shared" ref="K3:K66" si="0">+(J3/$J$19)*100</f>
        <v>82.692580271309097</v>
      </c>
      <c r="N3" s="36"/>
    </row>
    <row r="4" spans="1:14" x14ac:dyDescent="0.3">
      <c r="A4" s="1">
        <v>38533</v>
      </c>
      <c r="B4">
        <v>94.388720745057825</v>
      </c>
      <c r="G4" s="35">
        <v>38322</v>
      </c>
      <c r="H4" s="37">
        <v>47984</v>
      </c>
      <c r="I4" s="13">
        <v>38533</v>
      </c>
      <c r="J4">
        <v>37735.666666666664</v>
      </c>
      <c r="K4">
        <f t="shared" si="0"/>
        <v>94.388720745057825</v>
      </c>
      <c r="N4" s="37"/>
    </row>
    <row r="5" spans="1:14" x14ac:dyDescent="0.3">
      <c r="A5" s="1">
        <v>38625</v>
      </c>
      <c r="B5">
        <v>84.892902106939488</v>
      </c>
      <c r="G5" s="34">
        <v>38353</v>
      </c>
      <c r="H5" s="36">
        <v>34242</v>
      </c>
      <c r="I5" s="12">
        <v>38625</v>
      </c>
      <c r="J5">
        <v>33939.333333333336</v>
      </c>
      <c r="K5">
        <f t="shared" si="0"/>
        <v>84.892902106939488</v>
      </c>
      <c r="N5" s="36"/>
    </row>
    <row r="6" spans="1:14" x14ac:dyDescent="0.3">
      <c r="A6" s="1">
        <v>38717</v>
      </c>
      <c r="B6">
        <v>105.14019860426724</v>
      </c>
      <c r="G6" s="35">
        <v>38384</v>
      </c>
      <c r="H6" s="37">
        <v>31359</v>
      </c>
      <c r="I6" s="13">
        <v>38717</v>
      </c>
      <c r="J6">
        <v>42034</v>
      </c>
      <c r="K6">
        <f t="shared" si="0"/>
        <v>105.14019860426724</v>
      </c>
      <c r="N6" s="37"/>
    </row>
    <row r="7" spans="1:14" x14ac:dyDescent="0.3">
      <c r="A7" s="1">
        <v>38807</v>
      </c>
      <c r="B7">
        <v>90.929404604083814</v>
      </c>
      <c r="G7" s="34">
        <v>38412</v>
      </c>
      <c r="H7" s="36">
        <v>33578</v>
      </c>
      <c r="I7" s="12">
        <v>38807</v>
      </c>
      <c r="J7">
        <v>36352.666666666664</v>
      </c>
      <c r="K7">
        <f t="shared" si="0"/>
        <v>90.929404604083814</v>
      </c>
      <c r="N7" s="36"/>
    </row>
    <row r="8" spans="1:14" x14ac:dyDescent="0.3">
      <c r="A8" s="1">
        <v>38898</v>
      </c>
      <c r="B8">
        <v>104.23722454288502</v>
      </c>
      <c r="G8" s="35">
        <v>38443</v>
      </c>
      <c r="H8" s="37">
        <v>32988</v>
      </c>
      <c r="I8" s="13">
        <v>38898</v>
      </c>
      <c r="J8">
        <v>41673</v>
      </c>
      <c r="K8">
        <f t="shared" si="0"/>
        <v>104.23722454288502</v>
      </c>
      <c r="N8" s="37"/>
    </row>
    <row r="9" spans="1:14" x14ac:dyDescent="0.3">
      <c r="A9" s="1">
        <v>38990</v>
      </c>
      <c r="B9">
        <v>96.022912028815128</v>
      </c>
      <c r="G9" s="34">
        <v>38473</v>
      </c>
      <c r="H9" s="36">
        <v>32789</v>
      </c>
      <c r="I9" s="12">
        <v>38990</v>
      </c>
      <c r="J9">
        <v>38389</v>
      </c>
      <c r="K9">
        <f t="shared" si="0"/>
        <v>96.022912028815128</v>
      </c>
      <c r="N9" s="36"/>
    </row>
    <row r="10" spans="1:14" x14ac:dyDescent="0.3">
      <c r="A10" s="1">
        <v>39082</v>
      </c>
      <c r="B10">
        <v>113.21693889291878</v>
      </c>
      <c r="G10" s="35">
        <v>38504</v>
      </c>
      <c r="H10" s="37">
        <v>47430</v>
      </c>
      <c r="I10" s="13">
        <v>39082</v>
      </c>
      <c r="J10">
        <v>45263</v>
      </c>
      <c r="K10">
        <f t="shared" si="0"/>
        <v>113.21693889291878</v>
      </c>
      <c r="N10" s="37"/>
    </row>
    <row r="11" spans="1:14" x14ac:dyDescent="0.3">
      <c r="A11" s="1">
        <v>39172</v>
      </c>
      <c r="B11">
        <v>98.505882254850448</v>
      </c>
      <c r="G11" s="34">
        <v>38534</v>
      </c>
      <c r="H11" s="36">
        <v>33474</v>
      </c>
      <c r="I11" s="12">
        <v>39172</v>
      </c>
      <c r="J11">
        <v>39381.666666666664</v>
      </c>
      <c r="K11">
        <f t="shared" si="0"/>
        <v>98.505882254850448</v>
      </c>
      <c r="N11" s="36"/>
    </row>
    <row r="12" spans="1:14" x14ac:dyDescent="0.3">
      <c r="A12" s="1">
        <v>39263</v>
      </c>
      <c r="B12">
        <v>111.15752436695931</v>
      </c>
      <c r="G12" s="35">
        <v>38565</v>
      </c>
      <c r="H12" s="37">
        <v>34042</v>
      </c>
      <c r="I12" s="13">
        <v>39263</v>
      </c>
      <c r="J12">
        <v>44439.666666666664</v>
      </c>
      <c r="K12">
        <f t="shared" si="0"/>
        <v>111.15752436695931</v>
      </c>
      <c r="N12" s="37"/>
    </row>
    <row r="13" spans="1:14" x14ac:dyDescent="0.3">
      <c r="A13" s="1">
        <v>39355</v>
      </c>
      <c r="B13">
        <v>95.433435887174099</v>
      </c>
      <c r="G13" s="34">
        <v>38596</v>
      </c>
      <c r="H13" s="36">
        <v>34302</v>
      </c>
      <c r="I13" s="12">
        <v>39355</v>
      </c>
      <c r="J13">
        <v>38153.333333333336</v>
      </c>
      <c r="K13">
        <f t="shared" si="0"/>
        <v>95.433435887174099</v>
      </c>
      <c r="N13" s="36"/>
    </row>
    <row r="14" spans="1:14" x14ac:dyDescent="0.3">
      <c r="A14" s="1">
        <v>39447</v>
      </c>
      <c r="B14">
        <v>111.1875401252324</v>
      </c>
      <c r="G14" s="35">
        <v>38626</v>
      </c>
      <c r="H14" s="37">
        <v>35439</v>
      </c>
      <c r="I14" s="13">
        <v>39447</v>
      </c>
      <c r="J14">
        <v>44451.666666666664</v>
      </c>
      <c r="K14">
        <f t="shared" si="0"/>
        <v>111.1875401252324</v>
      </c>
      <c r="N14" s="37"/>
    </row>
    <row r="15" spans="1:14" x14ac:dyDescent="0.3">
      <c r="A15" s="1">
        <v>39538</v>
      </c>
      <c r="B15">
        <v>95.148286183579728</v>
      </c>
      <c r="G15" s="34">
        <v>38657</v>
      </c>
      <c r="H15" s="36">
        <v>36084</v>
      </c>
      <c r="I15" s="12">
        <v>39538</v>
      </c>
      <c r="J15">
        <v>38039.333333333336</v>
      </c>
      <c r="K15">
        <f t="shared" si="0"/>
        <v>95.148286183579728</v>
      </c>
      <c r="N15" s="36"/>
    </row>
    <row r="16" spans="1:14" x14ac:dyDescent="0.3">
      <c r="A16" s="1">
        <v>39629</v>
      </c>
      <c r="B16">
        <v>108.83797326929971</v>
      </c>
      <c r="G16" s="35">
        <v>38687</v>
      </c>
      <c r="H16" s="37">
        <v>54579</v>
      </c>
      <c r="I16" s="13">
        <v>39629</v>
      </c>
      <c r="J16">
        <v>43512.333333333336</v>
      </c>
      <c r="K16">
        <f t="shared" si="0"/>
        <v>108.83797326929971</v>
      </c>
      <c r="N16" s="37"/>
    </row>
    <row r="17" spans="1:14" x14ac:dyDescent="0.3">
      <c r="A17" s="1">
        <v>39721</v>
      </c>
      <c r="B17">
        <v>98.745174549972063</v>
      </c>
      <c r="G17" s="34">
        <v>38718</v>
      </c>
      <c r="H17" s="36">
        <v>37616</v>
      </c>
      <c r="I17" s="12">
        <v>39721</v>
      </c>
      <c r="J17">
        <v>39477.333333333336</v>
      </c>
      <c r="K17">
        <f t="shared" si="0"/>
        <v>98.745174549972063</v>
      </c>
      <c r="N17" s="36"/>
    </row>
    <row r="18" spans="1:14" x14ac:dyDescent="0.3">
      <c r="A18" s="1">
        <v>39813</v>
      </c>
      <c r="B18">
        <v>118.54640352851914</v>
      </c>
      <c r="G18" s="35">
        <v>38749</v>
      </c>
      <c r="H18" s="37">
        <v>34323</v>
      </c>
      <c r="I18" s="13">
        <v>39813</v>
      </c>
      <c r="J18">
        <v>47393.666666666664</v>
      </c>
      <c r="K18">
        <f t="shared" si="0"/>
        <v>118.54640352851914</v>
      </c>
      <c r="N18" s="37"/>
    </row>
    <row r="19" spans="1:14" x14ac:dyDescent="0.3">
      <c r="A19" s="1">
        <v>39903</v>
      </c>
      <c r="B19">
        <v>100</v>
      </c>
      <c r="G19" s="34">
        <v>38777</v>
      </c>
      <c r="H19" s="36">
        <v>37119</v>
      </c>
      <c r="I19" s="12">
        <v>39903</v>
      </c>
      <c r="J19">
        <v>39979</v>
      </c>
      <c r="K19">
        <f t="shared" si="0"/>
        <v>100</v>
      </c>
      <c r="N19" s="36"/>
    </row>
    <row r="20" spans="1:14" x14ac:dyDescent="0.3">
      <c r="A20" s="1">
        <v>39994</v>
      </c>
      <c r="B20">
        <v>114.88698233239117</v>
      </c>
      <c r="G20" s="35">
        <v>38808</v>
      </c>
      <c r="H20" s="37">
        <v>35213</v>
      </c>
      <c r="I20" s="13">
        <v>39994</v>
      </c>
      <c r="J20">
        <v>45930.666666666664</v>
      </c>
      <c r="K20">
        <f t="shared" si="0"/>
        <v>114.88698233239117</v>
      </c>
      <c r="N20" s="37"/>
    </row>
    <row r="21" spans="1:14" x14ac:dyDescent="0.3">
      <c r="A21" s="1">
        <v>40086</v>
      </c>
      <c r="B21">
        <v>104.25640127733726</v>
      </c>
      <c r="G21" s="34">
        <v>38838</v>
      </c>
      <c r="H21" s="36">
        <v>36452</v>
      </c>
      <c r="I21" s="12">
        <v>40086</v>
      </c>
      <c r="J21">
        <v>41680.666666666664</v>
      </c>
      <c r="K21">
        <f t="shared" si="0"/>
        <v>104.25640127733726</v>
      </c>
      <c r="N21" s="36"/>
    </row>
    <row r="22" spans="1:14" x14ac:dyDescent="0.3">
      <c r="A22" s="1">
        <v>40178</v>
      </c>
      <c r="B22">
        <v>125.02480468912844</v>
      </c>
      <c r="G22" s="35">
        <v>38869</v>
      </c>
      <c r="H22" s="37">
        <v>53354</v>
      </c>
      <c r="I22" s="13">
        <v>40178</v>
      </c>
      <c r="J22">
        <v>49983.666666666664</v>
      </c>
      <c r="K22">
        <f t="shared" si="0"/>
        <v>125.02480468912844</v>
      </c>
      <c r="N22" s="37"/>
    </row>
    <row r="23" spans="1:14" x14ac:dyDescent="0.3">
      <c r="A23" s="1">
        <v>40268</v>
      </c>
      <c r="B23">
        <v>106.15573175917356</v>
      </c>
      <c r="G23" s="34">
        <v>38899</v>
      </c>
      <c r="H23" s="36">
        <v>38150</v>
      </c>
      <c r="I23" s="12">
        <v>40268</v>
      </c>
      <c r="J23">
        <v>42440</v>
      </c>
      <c r="K23">
        <f t="shared" si="0"/>
        <v>106.15573175917356</v>
      </c>
      <c r="N23" s="36"/>
    </row>
    <row r="24" spans="1:14" x14ac:dyDescent="0.3">
      <c r="A24" s="1">
        <v>40359</v>
      </c>
      <c r="B24">
        <v>123.11713649666073</v>
      </c>
      <c r="G24" s="35">
        <v>38930</v>
      </c>
      <c r="H24" s="37">
        <v>38751</v>
      </c>
      <c r="I24" s="13">
        <v>40359</v>
      </c>
      <c r="J24">
        <v>49221</v>
      </c>
      <c r="K24">
        <f t="shared" si="0"/>
        <v>123.11713649666073</v>
      </c>
      <c r="N24" s="37"/>
    </row>
    <row r="25" spans="1:14" x14ac:dyDescent="0.3">
      <c r="A25" s="1">
        <v>40451</v>
      </c>
      <c r="B25">
        <v>111.63444141507625</v>
      </c>
      <c r="G25" s="34">
        <v>38961</v>
      </c>
      <c r="H25" s="36">
        <v>38266</v>
      </c>
      <c r="I25" s="12">
        <v>40451</v>
      </c>
      <c r="J25">
        <v>44630.333333333336</v>
      </c>
      <c r="K25">
        <f t="shared" si="0"/>
        <v>111.63444141507625</v>
      </c>
      <c r="N25" s="36"/>
    </row>
    <row r="26" spans="1:14" x14ac:dyDescent="0.3">
      <c r="A26" s="1">
        <v>40543</v>
      </c>
      <c r="B26">
        <v>130.16416952233257</v>
      </c>
      <c r="G26" s="35">
        <v>38991</v>
      </c>
      <c r="H26" s="37">
        <v>38521</v>
      </c>
      <c r="I26" s="13">
        <v>40543</v>
      </c>
      <c r="J26">
        <v>52038.333333333336</v>
      </c>
      <c r="K26">
        <f t="shared" si="0"/>
        <v>130.16416952233257</v>
      </c>
      <c r="N26" s="37"/>
    </row>
    <row r="27" spans="1:14" x14ac:dyDescent="0.3">
      <c r="A27" s="1">
        <v>40633</v>
      </c>
      <c r="B27">
        <v>112.50990103137481</v>
      </c>
      <c r="G27" s="34">
        <v>39022</v>
      </c>
      <c r="H27" s="36">
        <v>38685</v>
      </c>
      <c r="I27" s="12">
        <v>40633</v>
      </c>
      <c r="J27">
        <v>44980.333333333336</v>
      </c>
      <c r="K27">
        <f t="shared" si="0"/>
        <v>112.50990103137481</v>
      </c>
      <c r="N27" s="36"/>
    </row>
    <row r="28" spans="1:14" x14ac:dyDescent="0.3">
      <c r="A28" s="1">
        <v>40724</v>
      </c>
      <c r="B28">
        <v>129.55635041730241</v>
      </c>
      <c r="G28" s="35">
        <v>39052</v>
      </c>
      <c r="H28" s="37">
        <v>58583</v>
      </c>
      <c r="I28" s="13">
        <v>40724</v>
      </c>
      <c r="J28">
        <v>51795.333333333336</v>
      </c>
      <c r="K28">
        <f t="shared" si="0"/>
        <v>129.55635041730241</v>
      </c>
      <c r="N28" s="37"/>
    </row>
    <row r="29" spans="1:14" x14ac:dyDescent="0.3">
      <c r="A29" s="1">
        <v>40816</v>
      </c>
      <c r="B29">
        <v>117.18819046666167</v>
      </c>
      <c r="G29" s="34">
        <v>39083</v>
      </c>
      <c r="H29" s="36">
        <v>40597</v>
      </c>
      <c r="I29" s="12">
        <v>40816</v>
      </c>
      <c r="J29">
        <v>46850.666666666664</v>
      </c>
      <c r="K29">
        <f t="shared" si="0"/>
        <v>117.18819046666167</v>
      </c>
      <c r="N29" s="36"/>
    </row>
    <row r="30" spans="1:14" x14ac:dyDescent="0.3">
      <c r="A30" s="1">
        <v>40908</v>
      </c>
      <c r="B30">
        <v>140.2886515420596</v>
      </c>
      <c r="G30" s="35">
        <v>39114</v>
      </c>
      <c r="H30" s="37">
        <v>37195</v>
      </c>
      <c r="I30" s="13">
        <v>40908</v>
      </c>
      <c r="J30">
        <v>56086</v>
      </c>
      <c r="K30">
        <f t="shared" si="0"/>
        <v>140.2886515420596</v>
      </c>
      <c r="N30" s="37"/>
    </row>
    <row r="31" spans="1:14" x14ac:dyDescent="0.3">
      <c r="A31" s="1">
        <v>40999</v>
      </c>
      <c r="B31">
        <v>120.62832987318342</v>
      </c>
      <c r="G31" s="34">
        <v>39142</v>
      </c>
      <c r="H31" s="36">
        <v>40353</v>
      </c>
      <c r="I31" s="12">
        <v>40999</v>
      </c>
      <c r="J31">
        <v>48226</v>
      </c>
      <c r="K31">
        <f t="shared" si="0"/>
        <v>120.62832987318342</v>
      </c>
      <c r="N31" s="36"/>
    </row>
    <row r="32" spans="1:14" x14ac:dyDescent="0.3">
      <c r="A32" s="1">
        <v>41090</v>
      </c>
      <c r="B32">
        <v>135.29436287384212</v>
      </c>
      <c r="G32" s="35">
        <v>39173</v>
      </c>
      <c r="H32" s="37">
        <v>38344</v>
      </c>
      <c r="I32" s="13">
        <v>41090</v>
      </c>
      <c r="J32">
        <v>54089.333333333336</v>
      </c>
      <c r="K32">
        <f t="shared" si="0"/>
        <v>135.29436287384212</v>
      </c>
      <c r="N32" s="37"/>
    </row>
    <row r="33" spans="1:14" x14ac:dyDescent="0.3">
      <c r="A33" s="1">
        <v>41182</v>
      </c>
      <c r="B33">
        <v>123.58071320776742</v>
      </c>
      <c r="G33" s="34">
        <v>39203</v>
      </c>
      <c r="H33" s="36">
        <v>38828</v>
      </c>
      <c r="I33" s="12">
        <v>41182</v>
      </c>
      <c r="J33">
        <v>49406.333333333336</v>
      </c>
      <c r="K33">
        <f t="shared" si="0"/>
        <v>123.58071320776742</v>
      </c>
      <c r="N33" s="36"/>
    </row>
    <row r="34" spans="1:14" x14ac:dyDescent="0.3">
      <c r="A34" s="1">
        <v>41274</v>
      </c>
      <c r="B34">
        <v>147.85845902432112</v>
      </c>
      <c r="G34" s="35">
        <v>39234</v>
      </c>
      <c r="H34" s="37">
        <v>56147</v>
      </c>
      <c r="I34" s="13">
        <v>41274</v>
      </c>
      <c r="J34">
        <v>59112.333333333336</v>
      </c>
      <c r="K34">
        <f t="shared" si="0"/>
        <v>147.85845902432112</v>
      </c>
      <c r="N34" s="37"/>
    </row>
    <row r="35" spans="1:14" x14ac:dyDescent="0.3">
      <c r="A35" s="1">
        <v>41364</v>
      </c>
      <c r="B35">
        <v>124.09348241159944</v>
      </c>
      <c r="G35" s="34">
        <v>39264</v>
      </c>
      <c r="H35" s="36">
        <v>38786</v>
      </c>
      <c r="I35" s="12">
        <v>41364</v>
      </c>
      <c r="J35">
        <v>49611.333333333336</v>
      </c>
      <c r="K35">
        <f t="shared" si="0"/>
        <v>124.09348241159944</v>
      </c>
      <c r="N35" s="36"/>
    </row>
    <row r="36" spans="1:14" x14ac:dyDescent="0.3">
      <c r="A36" s="1">
        <v>41455</v>
      </c>
      <c r="B36">
        <v>139.71585082168139</v>
      </c>
      <c r="G36" s="35">
        <v>39295</v>
      </c>
      <c r="H36" s="37">
        <v>38728</v>
      </c>
      <c r="I36" s="13">
        <v>41455</v>
      </c>
      <c r="J36">
        <v>55857</v>
      </c>
      <c r="K36">
        <f t="shared" si="0"/>
        <v>139.71585082168139</v>
      </c>
      <c r="N36" s="37"/>
    </row>
    <row r="37" spans="1:14" x14ac:dyDescent="0.3">
      <c r="A37" s="1">
        <v>41547</v>
      </c>
      <c r="B37">
        <v>125.21907334684043</v>
      </c>
      <c r="G37" s="34">
        <v>39326</v>
      </c>
      <c r="H37" s="36">
        <v>36946</v>
      </c>
      <c r="I37" s="12">
        <v>41547</v>
      </c>
      <c r="J37">
        <v>50061.333333333336</v>
      </c>
      <c r="K37">
        <f t="shared" si="0"/>
        <v>125.21907334684043</v>
      </c>
      <c r="N37" s="36"/>
    </row>
    <row r="38" spans="1:14" x14ac:dyDescent="0.3">
      <c r="A38" s="1">
        <v>41639</v>
      </c>
      <c r="B38">
        <v>144.94776424289418</v>
      </c>
      <c r="G38" s="35">
        <v>39356</v>
      </c>
      <c r="H38" s="37">
        <v>37730</v>
      </c>
      <c r="I38" s="13">
        <v>41639</v>
      </c>
      <c r="J38">
        <v>57948.666666666664</v>
      </c>
      <c r="K38">
        <f t="shared" si="0"/>
        <v>144.94776424289418</v>
      </c>
      <c r="N38" s="37"/>
    </row>
    <row r="39" spans="1:14" x14ac:dyDescent="0.3">
      <c r="A39" s="1">
        <v>41729</v>
      </c>
      <c r="B39">
        <v>114.43924727148418</v>
      </c>
      <c r="G39" s="34">
        <v>39387</v>
      </c>
      <c r="H39" s="36">
        <v>37550</v>
      </c>
      <c r="I39" s="12">
        <v>41729</v>
      </c>
      <c r="J39">
        <v>45751.666666666664</v>
      </c>
      <c r="K39">
        <f t="shared" si="0"/>
        <v>114.43924727148418</v>
      </c>
      <c r="N39" s="36"/>
    </row>
    <row r="40" spans="1:14" x14ac:dyDescent="0.3">
      <c r="A40" s="1">
        <v>41820</v>
      </c>
      <c r="B40">
        <v>128.04305593770061</v>
      </c>
      <c r="G40" s="35">
        <v>39417</v>
      </c>
      <c r="H40" s="37">
        <v>58075</v>
      </c>
      <c r="I40" s="13">
        <v>41820</v>
      </c>
      <c r="J40">
        <v>51190.333333333336</v>
      </c>
      <c r="K40">
        <f t="shared" si="0"/>
        <v>128.04305593770061</v>
      </c>
      <c r="N40" s="37"/>
    </row>
    <row r="41" spans="1:14" x14ac:dyDescent="0.3">
      <c r="A41" s="1">
        <v>41912</v>
      </c>
      <c r="B41">
        <v>115.33805247755072</v>
      </c>
      <c r="G41" s="34">
        <v>39448</v>
      </c>
      <c r="H41" s="36">
        <v>39974</v>
      </c>
      <c r="I41" s="12">
        <v>41912</v>
      </c>
      <c r="J41">
        <v>46111</v>
      </c>
      <c r="K41">
        <f t="shared" si="0"/>
        <v>115.33805247755072</v>
      </c>
      <c r="N41" s="36"/>
    </row>
    <row r="42" spans="1:14" x14ac:dyDescent="0.3">
      <c r="A42" s="1">
        <v>42004</v>
      </c>
      <c r="B42">
        <v>138.05914771921925</v>
      </c>
      <c r="G42" s="35">
        <v>39479</v>
      </c>
      <c r="H42" s="37">
        <v>36722</v>
      </c>
      <c r="I42" s="13">
        <v>42004</v>
      </c>
      <c r="J42">
        <v>55194.666666666664</v>
      </c>
      <c r="K42">
        <f t="shared" si="0"/>
        <v>138.05914771921925</v>
      </c>
      <c r="N42" s="37"/>
    </row>
    <row r="43" spans="1:14" x14ac:dyDescent="0.3">
      <c r="A43" s="1">
        <v>42094</v>
      </c>
      <c r="B43">
        <v>118.44551722987902</v>
      </c>
      <c r="G43" s="34">
        <v>39508</v>
      </c>
      <c r="H43" s="36">
        <v>37422</v>
      </c>
      <c r="I43" s="12">
        <v>42094</v>
      </c>
      <c r="J43">
        <v>47353.333333333336</v>
      </c>
      <c r="K43">
        <f t="shared" si="0"/>
        <v>118.44551722987902</v>
      </c>
      <c r="N43" s="36"/>
    </row>
    <row r="44" spans="1:14" x14ac:dyDescent="0.3">
      <c r="A44" s="1">
        <v>42185</v>
      </c>
      <c r="B44">
        <v>133.97283573876285</v>
      </c>
      <c r="G44" s="35">
        <v>39539</v>
      </c>
      <c r="H44" s="37">
        <v>37179</v>
      </c>
      <c r="I44" s="13">
        <v>42185</v>
      </c>
      <c r="J44">
        <v>53561</v>
      </c>
      <c r="K44">
        <f t="shared" si="0"/>
        <v>133.97283573876285</v>
      </c>
      <c r="N44" s="37"/>
    </row>
    <row r="45" spans="1:14" x14ac:dyDescent="0.3">
      <c r="A45" s="1">
        <v>42277</v>
      </c>
      <c r="B45">
        <v>121.41207467253643</v>
      </c>
      <c r="G45" s="34">
        <v>39569</v>
      </c>
      <c r="H45" s="36">
        <v>38431</v>
      </c>
      <c r="I45" s="12">
        <v>42277</v>
      </c>
      <c r="J45">
        <v>48539.333333333336</v>
      </c>
      <c r="K45">
        <f t="shared" si="0"/>
        <v>121.41207467253643</v>
      </c>
      <c r="N45" s="36"/>
    </row>
    <row r="46" spans="1:14" x14ac:dyDescent="0.3">
      <c r="A46" s="1">
        <v>42369</v>
      </c>
      <c r="B46">
        <v>142.8875159458716</v>
      </c>
      <c r="G46" s="35">
        <v>39600</v>
      </c>
      <c r="H46" s="37">
        <v>54927</v>
      </c>
      <c r="I46" s="13">
        <v>42369</v>
      </c>
      <c r="J46">
        <v>57125</v>
      </c>
      <c r="K46">
        <f t="shared" si="0"/>
        <v>142.8875159458716</v>
      </c>
      <c r="N46" s="37"/>
    </row>
    <row r="47" spans="1:14" x14ac:dyDescent="0.3">
      <c r="A47" s="1">
        <v>42460</v>
      </c>
      <c r="B47">
        <v>115.17213203598556</v>
      </c>
      <c r="G47" s="34">
        <v>39630</v>
      </c>
      <c r="H47" s="36">
        <v>39435</v>
      </c>
      <c r="I47" s="12">
        <v>42460</v>
      </c>
      <c r="J47">
        <v>46044.666666666664</v>
      </c>
      <c r="K47">
        <f t="shared" si="0"/>
        <v>115.17213203598556</v>
      </c>
      <c r="N47" s="36"/>
    </row>
    <row r="48" spans="1:14" x14ac:dyDescent="0.3">
      <c r="A48" s="1">
        <v>42551</v>
      </c>
      <c r="B48">
        <v>123.60489256859853</v>
      </c>
      <c r="G48" s="35">
        <v>39661</v>
      </c>
      <c r="H48" s="37">
        <v>39345</v>
      </c>
      <c r="I48" s="13">
        <v>42551</v>
      </c>
      <c r="J48">
        <v>49416</v>
      </c>
      <c r="K48">
        <f t="shared" si="0"/>
        <v>123.60489256859853</v>
      </c>
      <c r="N48" s="37"/>
    </row>
    <row r="49" spans="1:14" x14ac:dyDescent="0.3">
      <c r="A49" s="1">
        <v>42643</v>
      </c>
      <c r="B49">
        <v>111.44100652842744</v>
      </c>
      <c r="G49" s="34">
        <v>39692</v>
      </c>
      <c r="H49" s="36">
        <v>39652</v>
      </c>
      <c r="I49" s="12">
        <v>42643</v>
      </c>
      <c r="J49">
        <v>44553</v>
      </c>
      <c r="K49">
        <f t="shared" si="0"/>
        <v>111.44100652842744</v>
      </c>
      <c r="N49" s="36"/>
    </row>
    <row r="50" spans="1:14" x14ac:dyDescent="0.3">
      <c r="A50" s="1">
        <v>42735</v>
      </c>
      <c r="B50">
        <v>134.76158316449468</v>
      </c>
      <c r="G50" s="35">
        <v>39722</v>
      </c>
      <c r="H50" s="37">
        <v>40229</v>
      </c>
      <c r="I50" s="13">
        <v>42735</v>
      </c>
      <c r="J50">
        <v>53876.333333333336</v>
      </c>
      <c r="K50">
        <f t="shared" si="0"/>
        <v>134.76158316449468</v>
      </c>
      <c r="N50" s="37"/>
    </row>
    <row r="51" spans="1:14" x14ac:dyDescent="0.3">
      <c r="A51" s="1">
        <v>42825</v>
      </c>
      <c r="B51">
        <v>114.67353694022695</v>
      </c>
      <c r="G51" s="34">
        <v>39753</v>
      </c>
      <c r="H51" s="36">
        <v>39841</v>
      </c>
      <c r="I51" s="12">
        <v>42825</v>
      </c>
      <c r="J51">
        <v>45845.333333333336</v>
      </c>
      <c r="K51">
        <f t="shared" si="0"/>
        <v>114.67353694022695</v>
      </c>
      <c r="N51" s="36"/>
    </row>
    <row r="52" spans="1:14" x14ac:dyDescent="0.3">
      <c r="A52" s="1">
        <v>42916</v>
      </c>
      <c r="B52">
        <v>129.90319917956927</v>
      </c>
      <c r="G52" s="35">
        <v>39783</v>
      </c>
      <c r="H52" s="37">
        <v>62111</v>
      </c>
      <c r="I52" s="13">
        <v>42916</v>
      </c>
      <c r="J52">
        <v>51934</v>
      </c>
      <c r="K52">
        <f t="shared" si="0"/>
        <v>129.90319917956927</v>
      </c>
      <c r="N52" s="37"/>
    </row>
    <row r="53" spans="1:14" x14ac:dyDescent="0.3">
      <c r="A53" s="1">
        <v>43008</v>
      </c>
      <c r="B53">
        <v>115.91085319792892</v>
      </c>
      <c r="G53" s="34">
        <v>39814</v>
      </c>
      <c r="H53" s="36">
        <v>41695</v>
      </c>
      <c r="I53" s="12">
        <v>43008</v>
      </c>
      <c r="J53">
        <v>46340</v>
      </c>
      <c r="K53">
        <f t="shared" si="0"/>
        <v>115.91085319792892</v>
      </c>
      <c r="N53" s="36"/>
    </row>
    <row r="54" spans="1:14" x14ac:dyDescent="0.3">
      <c r="A54" s="1">
        <v>43100</v>
      </c>
      <c r="B54">
        <v>137.30875376239192</v>
      </c>
      <c r="G54" s="35">
        <v>39845</v>
      </c>
      <c r="H54" s="37">
        <v>38393</v>
      </c>
      <c r="I54" s="13">
        <v>43100</v>
      </c>
      <c r="J54">
        <v>54894.666666666664</v>
      </c>
      <c r="K54">
        <f t="shared" si="0"/>
        <v>137.30875376239192</v>
      </c>
      <c r="N54" s="37"/>
    </row>
    <row r="55" spans="1:14" x14ac:dyDescent="0.3">
      <c r="A55" s="1">
        <v>43190</v>
      </c>
      <c r="B55">
        <v>113.4787430067452</v>
      </c>
      <c r="G55" s="34">
        <v>39873</v>
      </c>
      <c r="H55" s="36">
        <v>39849</v>
      </c>
      <c r="I55" s="12">
        <v>43190</v>
      </c>
      <c r="J55">
        <v>45367.666666666664</v>
      </c>
      <c r="K55">
        <f t="shared" si="0"/>
        <v>113.4787430067452</v>
      </c>
      <c r="N55" s="36"/>
    </row>
    <row r="56" spans="1:14" x14ac:dyDescent="0.3">
      <c r="A56" s="1">
        <v>43281</v>
      </c>
      <c r="B56">
        <v>125.79854423572377</v>
      </c>
      <c r="G56" s="35">
        <v>39904</v>
      </c>
      <c r="H56" s="37">
        <v>39785</v>
      </c>
      <c r="I56" s="13">
        <v>43281</v>
      </c>
      <c r="J56">
        <v>50293</v>
      </c>
      <c r="K56">
        <f t="shared" si="0"/>
        <v>125.79854423572377</v>
      </c>
      <c r="N56" s="37"/>
    </row>
    <row r="57" spans="1:14" x14ac:dyDescent="0.3">
      <c r="A57" s="1">
        <v>43373</v>
      </c>
      <c r="B57">
        <v>105.19856257868716</v>
      </c>
      <c r="G57" s="34">
        <v>39934</v>
      </c>
      <c r="H57" s="36">
        <v>39352</v>
      </c>
      <c r="I57" s="12">
        <v>43373</v>
      </c>
      <c r="J57">
        <v>42057.333333333336</v>
      </c>
      <c r="K57">
        <f t="shared" si="0"/>
        <v>105.19856257868716</v>
      </c>
      <c r="N57" s="36"/>
    </row>
    <row r="58" spans="1:14" x14ac:dyDescent="0.3">
      <c r="A58" s="1">
        <v>43465</v>
      </c>
      <c r="B58">
        <v>119.20925152371662</v>
      </c>
      <c r="G58" s="35">
        <v>39965</v>
      </c>
      <c r="H58" s="37">
        <v>58655</v>
      </c>
      <c r="I58" s="13">
        <v>43465</v>
      </c>
      <c r="J58">
        <v>47658.666666666664</v>
      </c>
      <c r="K58">
        <f t="shared" si="0"/>
        <v>119.20925152371662</v>
      </c>
    </row>
    <row r="59" spans="1:14" x14ac:dyDescent="0.3">
      <c r="A59" s="1">
        <v>43555</v>
      </c>
      <c r="B59">
        <v>100.28098084827867</v>
      </c>
      <c r="G59" s="34">
        <v>39995</v>
      </c>
      <c r="H59" s="36">
        <v>41631</v>
      </c>
      <c r="I59" s="12">
        <v>43555</v>
      </c>
      <c r="J59">
        <v>40091.333333333336</v>
      </c>
      <c r="K59">
        <f t="shared" si="0"/>
        <v>100.28098084827867</v>
      </c>
    </row>
    <row r="60" spans="1:14" x14ac:dyDescent="0.3">
      <c r="A60" s="1">
        <v>43646</v>
      </c>
      <c r="B60">
        <v>113.69135462784628</v>
      </c>
      <c r="G60" s="35">
        <v>40026</v>
      </c>
      <c r="H60" s="37">
        <v>41330</v>
      </c>
      <c r="I60" s="13">
        <v>43646</v>
      </c>
      <c r="J60">
        <v>45452.666666666664</v>
      </c>
      <c r="K60">
        <f t="shared" si="0"/>
        <v>113.69135462784628</v>
      </c>
    </row>
    <row r="61" spans="1:14" x14ac:dyDescent="0.3">
      <c r="A61" s="1">
        <v>43738</v>
      </c>
      <c r="B61">
        <v>99.633140732217754</v>
      </c>
      <c r="G61" s="34">
        <v>40057</v>
      </c>
      <c r="H61" s="36">
        <v>42081</v>
      </c>
      <c r="I61" s="12">
        <v>43738</v>
      </c>
      <c r="J61">
        <v>39832.333333333336</v>
      </c>
      <c r="K61">
        <f t="shared" si="0"/>
        <v>99.633140732217754</v>
      </c>
    </row>
    <row r="62" spans="1:14" x14ac:dyDescent="0.3">
      <c r="A62" s="1">
        <v>43830</v>
      </c>
      <c r="B62">
        <v>114.55347390713459</v>
      </c>
      <c r="G62" s="35">
        <v>40087</v>
      </c>
      <c r="H62" s="37">
        <v>43033</v>
      </c>
      <c r="I62" s="13">
        <v>43830</v>
      </c>
      <c r="J62">
        <v>45797.333333333336</v>
      </c>
      <c r="K62">
        <f t="shared" si="0"/>
        <v>114.55347390713459</v>
      </c>
    </row>
    <row r="63" spans="1:14" x14ac:dyDescent="0.3">
      <c r="A63" s="1">
        <v>43921</v>
      </c>
      <c r="B63">
        <v>99.601457431818361</v>
      </c>
      <c r="G63" s="34">
        <v>40118</v>
      </c>
      <c r="H63" s="36">
        <v>42107</v>
      </c>
      <c r="I63" s="12">
        <v>43921</v>
      </c>
      <c r="J63">
        <v>39819.666666666664</v>
      </c>
      <c r="K63">
        <f t="shared" si="0"/>
        <v>99.601457431818361</v>
      </c>
    </row>
    <row r="64" spans="1:14" x14ac:dyDescent="0.3">
      <c r="A64" s="1">
        <v>44012</v>
      </c>
      <c r="B64">
        <v>104.83920725047315</v>
      </c>
      <c r="G64" s="35">
        <v>40148</v>
      </c>
      <c r="H64" s="37">
        <v>64811</v>
      </c>
      <c r="I64" s="13">
        <v>44012</v>
      </c>
      <c r="J64">
        <v>41913.666666666664</v>
      </c>
      <c r="K64">
        <f t="shared" si="0"/>
        <v>104.83920725047315</v>
      </c>
    </row>
    <row r="65" spans="1:11" x14ac:dyDescent="0.3">
      <c r="A65" s="1">
        <v>44104</v>
      </c>
      <c r="B65">
        <v>94.340362023395613</v>
      </c>
      <c r="G65" s="34">
        <v>40179</v>
      </c>
      <c r="H65" s="36">
        <v>43987</v>
      </c>
      <c r="I65" s="12">
        <v>44104</v>
      </c>
      <c r="J65">
        <v>37716.333333333336</v>
      </c>
      <c r="K65">
        <f t="shared" si="0"/>
        <v>94.340362023395613</v>
      </c>
    </row>
    <row r="66" spans="1:11" x14ac:dyDescent="0.3">
      <c r="A66" s="1">
        <v>44196</v>
      </c>
      <c r="B66">
        <v>112.0413216938893</v>
      </c>
      <c r="G66" s="35">
        <v>40210</v>
      </c>
      <c r="H66" s="37">
        <v>40727</v>
      </c>
      <c r="I66" s="13">
        <v>44196</v>
      </c>
      <c r="J66">
        <v>44793</v>
      </c>
      <c r="K66">
        <f t="shared" si="0"/>
        <v>112.0413216938893</v>
      </c>
    </row>
    <row r="67" spans="1:11" x14ac:dyDescent="0.3">
      <c r="A67" s="1">
        <v>44286</v>
      </c>
      <c r="B67">
        <v>95.144951099327145</v>
      </c>
      <c r="G67" s="34">
        <v>40238</v>
      </c>
      <c r="H67" s="36">
        <v>42606</v>
      </c>
      <c r="I67" s="12">
        <v>44286</v>
      </c>
      <c r="J67">
        <v>38038</v>
      </c>
      <c r="K67">
        <f t="shared" ref="K67:K84" si="1">+(J67/$J$19)*100</f>
        <v>95.144951099327145</v>
      </c>
    </row>
    <row r="68" spans="1:11" x14ac:dyDescent="0.3">
      <c r="A68" s="1">
        <v>44377</v>
      </c>
      <c r="B68">
        <v>106.93197261895828</v>
      </c>
      <c r="G68" s="35">
        <v>40269</v>
      </c>
      <c r="H68" s="37">
        <v>41724</v>
      </c>
      <c r="I68" s="13">
        <v>44377</v>
      </c>
      <c r="J68">
        <v>42750.333333333336</v>
      </c>
      <c r="K68">
        <f t="shared" si="1"/>
        <v>106.93197261895828</v>
      </c>
    </row>
    <row r="69" spans="1:11" x14ac:dyDescent="0.3">
      <c r="A69" s="1">
        <v>44469</v>
      </c>
      <c r="B69">
        <v>95.983724788847482</v>
      </c>
      <c r="G69" s="34">
        <v>40299</v>
      </c>
      <c r="H69" s="36">
        <v>43102</v>
      </c>
      <c r="I69" s="12">
        <v>44469</v>
      </c>
      <c r="J69">
        <v>38373.333333333336</v>
      </c>
      <c r="K69">
        <f t="shared" si="1"/>
        <v>95.983724788847482</v>
      </c>
    </row>
    <row r="70" spans="1:11" x14ac:dyDescent="0.3">
      <c r="A70" s="1">
        <v>44561</v>
      </c>
      <c r="B70">
        <v>113.24695465119188</v>
      </c>
      <c r="G70" s="35">
        <v>40330</v>
      </c>
      <c r="H70" s="37">
        <v>62837</v>
      </c>
      <c r="I70" s="13">
        <v>44561</v>
      </c>
      <c r="J70">
        <v>45275</v>
      </c>
      <c r="K70">
        <f t="shared" si="1"/>
        <v>113.24695465119188</v>
      </c>
    </row>
    <row r="71" spans="1:11" x14ac:dyDescent="0.3">
      <c r="A71" s="1">
        <v>44651</v>
      </c>
      <c r="B71">
        <v>96.068769437287912</v>
      </c>
      <c r="G71" s="34">
        <v>40360</v>
      </c>
      <c r="H71" s="36">
        <v>44849</v>
      </c>
      <c r="I71" s="12">
        <v>44651</v>
      </c>
      <c r="J71">
        <v>38407.333333333336</v>
      </c>
      <c r="K71">
        <f t="shared" si="1"/>
        <v>96.068769437287912</v>
      </c>
    </row>
    <row r="72" spans="1:11" x14ac:dyDescent="0.3">
      <c r="A72" s="1">
        <v>44742</v>
      </c>
      <c r="B72">
        <v>107.62817145668141</v>
      </c>
      <c r="G72" s="35">
        <v>40391</v>
      </c>
      <c r="H72" s="37">
        <v>44574</v>
      </c>
      <c r="I72" s="13">
        <v>44742</v>
      </c>
      <c r="J72">
        <v>43028.666666666664</v>
      </c>
      <c r="K72">
        <f t="shared" si="1"/>
        <v>107.62817145668141</v>
      </c>
    </row>
    <row r="73" spans="1:11" x14ac:dyDescent="0.3">
      <c r="A73" s="1">
        <v>44834</v>
      </c>
      <c r="B73">
        <v>93.153072029482146</v>
      </c>
      <c r="G73" s="34">
        <v>40422</v>
      </c>
      <c r="H73" s="36">
        <v>44468</v>
      </c>
      <c r="I73" s="12">
        <v>44834</v>
      </c>
      <c r="J73">
        <v>37241.666666666664</v>
      </c>
      <c r="K73">
        <f t="shared" si="1"/>
        <v>93.153072029482146</v>
      </c>
    </row>
    <row r="74" spans="1:11" x14ac:dyDescent="0.3">
      <c r="A74" s="1">
        <v>44926</v>
      </c>
      <c r="B74">
        <v>111.1308436929388</v>
      </c>
      <c r="G74" s="35">
        <v>40452</v>
      </c>
      <c r="H74" s="37">
        <v>44289</v>
      </c>
      <c r="I74" s="13">
        <v>44926</v>
      </c>
      <c r="J74">
        <v>44429</v>
      </c>
      <c r="K74">
        <f t="shared" si="1"/>
        <v>111.1308436929388</v>
      </c>
    </row>
    <row r="75" spans="1:11" x14ac:dyDescent="0.3">
      <c r="A75" s="1">
        <v>45016</v>
      </c>
      <c r="B75">
        <v>95.785287275819812</v>
      </c>
      <c r="G75" s="34">
        <v>40483</v>
      </c>
      <c r="H75" s="36">
        <v>44452</v>
      </c>
      <c r="I75" s="12">
        <v>45016</v>
      </c>
      <c r="J75">
        <v>38294</v>
      </c>
      <c r="K75">
        <f t="shared" si="1"/>
        <v>95.785287275819812</v>
      </c>
    </row>
    <row r="76" spans="1:11" x14ac:dyDescent="0.3">
      <c r="A76" s="1">
        <v>45107</v>
      </c>
      <c r="B76">
        <v>106.88027881304352</v>
      </c>
      <c r="G76" s="35">
        <v>40513</v>
      </c>
      <c r="H76" s="37">
        <v>67374</v>
      </c>
      <c r="I76" s="13">
        <v>45107</v>
      </c>
      <c r="J76">
        <v>42729.666666666664</v>
      </c>
      <c r="K76">
        <f t="shared" si="1"/>
        <v>106.88027881304352</v>
      </c>
    </row>
    <row r="77" spans="1:11" x14ac:dyDescent="0.3">
      <c r="A77" s="1">
        <v>45199</v>
      </c>
      <c r="B77">
        <v>95.195811134178783</v>
      </c>
      <c r="G77" s="34">
        <v>40544</v>
      </c>
      <c r="H77" s="36">
        <v>46857</v>
      </c>
      <c r="I77" s="12">
        <v>45199</v>
      </c>
      <c r="J77">
        <v>38058.333333333336</v>
      </c>
      <c r="K77">
        <f t="shared" si="1"/>
        <v>95.195811134178783</v>
      </c>
    </row>
    <row r="78" spans="1:11" x14ac:dyDescent="0.3">
      <c r="A78" s="1">
        <v>45291</v>
      </c>
      <c r="B78">
        <v>102.91569740780575</v>
      </c>
      <c r="G78" s="35">
        <v>40575</v>
      </c>
      <c r="H78" s="37">
        <v>42310</v>
      </c>
      <c r="I78" s="13">
        <v>45291</v>
      </c>
      <c r="J78">
        <v>41144.666666666664</v>
      </c>
      <c r="K78">
        <f t="shared" si="1"/>
        <v>102.91569740780575</v>
      </c>
    </row>
    <row r="79" spans="1:11" x14ac:dyDescent="0.3">
      <c r="A79" s="1">
        <v>45382</v>
      </c>
      <c r="B79">
        <v>85.34480602316215</v>
      </c>
      <c r="G79" s="34">
        <v>40603</v>
      </c>
      <c r="H79" s="36">
        <v>45774</v>
      </c>
      <c r="I79" s="12">
        <v>45382</v>
      </c>
      <c r="J79">
        <v>34120</v>
      </c>
      <c r="K79">
        <f t="shared" si="1"/>
        <v>85.34480602316215</v>
      </c>
    </row>
    <row r="80" spans="1:11" x14ac:dyDescent="0.3">
      <c r="A80" s="1">
        <v>45473</v>
      </c>
      <c r="B80">
        <v>103.17500020844277</v>
      </c>
      <c r="G80" s="35">
        <v>40634</v>
      </c>
      <c r="H80" s="37">
        <v>43608</v>
      </c>
      <c r="I80" s="13">
        <v>45473</v>
      </c>
      <c r="J80">
        <v>41248.333333333336</v>
      </c>
      <c r="K80">
        <f t="shared" si="1"/>
        <v>103.17500020844277</v>
      </c>
    </row>
    <row r="81" spans="1:13" x14ac:dyDescent="0.3">
      <c r="A81" s="1">
        <v>45565</v>
      </c>
      <c r="B81">
        <v>93.741714400060033</v>
      </c>
      <c r="G81" s="34">
        <v>40664</v>
      </c>
      <c r="H81" s="36">
        <v>45715</v>
      </c>
      <c r="I81" s="12">
        <v>45565</v>
      </c>
      <c r="J81">
        <v>37477</v>
      </c>
      <c r="K81">
        <f t="shared" si="1"/>
        <v>93.741714400060033</v>
      </c>
    </row>
    <row r="82" spans="1:13" x14ac:dyDescent="0.3">
      <c r="A82" s="1">
        <v>45657</v>
      </c>
      <c r="B82">
        <v>111.27258477367283</v>
      </c>
      <c r="G82" s="35">
        <v>40695</v>
      </c>
      <c r="H82" s="37">
        <v>66063</v>
      </c>
      <c r="I82" s="13">
        <v>45657</v>
      </c>
      <c r="J82">
        <v>44485.666666666664</v>
      </c>
      <c r="K82">
        <f t="shared" si="1"/>
        <v>111.27258477367283</v>
      </c>
    </row>
    <row r="83" spans="1:13" x14ac:dyDescent="0.3">
      <c r="A83" s="1">
        <v>45747</v>
      </c>
      <c r="B83">
        <v>97.334433911136685</v>
      </c>
      <c r="G83" s="34">
        <v>40725</v>
      </c>
      <c r="H83" s="36">
        <v>46486</v>
      </c>
      <c r="I83" s="12">
        <v>45747</v>
      </c>
      <c r="J83">
        <v>38913.333333333336</v>
      </c>
      <c r="K83">
        <f t="shared" si="1"/>
        <v>97.334433911136685</v>
      </c>
    </row>
    <row r="84" spans="1:13" x14ac:dyDescent="0.3">
      <c r="A84" s="1">
        <v>45838</v>
      </c>
      <c r="B84">
        <v>109.35324378632116</v>
      </c>
      <c r="G84" s="35">
        <v>40756</v>
      </c>
      <c r="H84" s="37">
        <v>47428</v>
      </c>
      <c r="I84" s="13">
        <v>45838</v>
      </c>
      <c r="J84">
        <v>43718.333333333336</v>
      </c>
      <c r="K84">
        <f t="shared" si="1"/>
        <v>109.35324378632116</v>
      </c>
    </row>
    <row r="85" spans="1:13" x14ac:dyDescent="0.3">
      <c r="A85" s="1">
        <v>45930</v>
      </c>
      <c r="G85" s="34">
        <v>40787</v>
      </c>
      <c r="H85" s="36">
        <v>46638</v>
      </c>
      <c r="I85" s="12">
        <v>45930</v>
      </c>
      <c r="M85">
        <f t="shared" ref="M85:M148" si="2">+(L85/$J$19)*100</f>
        <v>0</v>
      </c>
    </row>
    <row r="86" spans="1:13" x14ac:dyDescent="0.3">
      <c r="G86" s="35">
        <v>40817</v>
      </c>
      <c r="H86" s="37">
        <v>47546</v>
      </c>
      <c r="M86">
        <f t="shared" si="2"/>
        <v>0</v>
      </c>
    </row>
    <row r="87" spans="1:13" x14ac:dyDescent="0.3">
      <c r="G87" s="34">
        <v>40848</v>
      </c>
      <c r="H87" s="36">
        <v>47782</v>
      </c>
      <c r="M87">
        <f t="shared" si="2"/>
        <v>0</v>
      </c>
    </row>
    <row r="88" spans="1:13" x14ac:dyDescent="0.3">
      <c r="G88" s="35">
        <v>40878</v>
      </c>
      <c r="H88" s="37">
        <v>72930</v>
      </c>
      <c r="M88">
        <f t="shared" si="2"/>
        <v>0</v>
      </c>
    </row>
    <row r="89" spans="1:13" x14ac:dyDescent="0.3">
      <c r="G89" s="34">
        <v>40909</v>
      </c>
      <c r="H89" s="36">
        <v>49765</v>
      </c>
      <c r="M89">
        <f t="shared" si="2"/>
        <v>0</v>
      </c>
    </row>
    <row r="90" spans="1:13" x14ac:dyDescent="0.3">
      <c r="G90" s="35">
        <v>40940</v>
      </c>
      <c r="H90" s="37">
        <v>46650</v>
      </c>
      <c r="M90">
        <f t="shared" si="2"/>
        <v>0</v>
      </c>
    </row>
    <row r="91" spans="1:13" x14ac:dyDescent="0.3">
      <c r="G91" s="34">
        <v>40969</v>
      </c>
      <c r="H91" s="36">
        <v>48263</v>
      </c>
      <c r="M91">
        <f t="shared" si="2"/>
        <v>0</v>
      </c>
    </row>
    <row r="92" spans="1:13" x14ac:dyDescent="0.3">
      <c r="G92" s="35">
        <v>41000</v>
      </c>
      <c r="H92" s="37">
        <v>45819</v>
      </c>
      <c r="M92">
        <f t="shared" si="2"/>
        <v>0</v>
      </c>
    </row>
    <row r="93" spans="1:13" x14ac:dyDescent="0.3">
      <c r="G93" s="34">
        <v>41030</v>
      </c>
      <c r="H93" s="36">
        <v>47269</v>
      </c>
      <c r="M93">
        <f t="shared" si="2"/>
        <v>0</v>
      </c>
    </row>
    <row r="94" spans="1:13" x14ac:dyDescent="0.3">
      <c r="G94" s="35">
        <v>41061</v>
      </c>
      <c r="H94" s="37">
        <v>69180</v>
      </c>
      <c r="M94">
        <f t="shared" si="2"/>
        <v>0</v>
      </c>
    </row>
    <row r="95" spans="1:13" x14ac:dyDescent="0.3">
      <c r="G95" s="34">
        <v>41091</v>
      </c>
      <c r="H95" s="36">
        <v>49880</v>
      </c>
      <c r="M95">
        <f t="shared" si="2"/>
        <v>0</v>
      </c>
    </row>
    <row r="96" spans="1:13" x14ac:dyDescent="0.3">
      <c r="G96" s="35">
        <v>41122</v>
      </c>
      <c r="H96" s="37">
        <v>49690</v>
      </c>
      <c r="M96">
        <f t="shared" si="2"/>
        <v>0</v>
      </c>
    </row>
    <row r="97" spans="7:13" x14ac:dyDescent="0.3">
      <c r="G97" s="34">
        <v>41153</v>
      </c>
      <c r="H97" s="36">
        <v>48649</v>
      </c>
      <c r="M97">
        <f t="shared" si="2"/>
        <v>0</v>
      </c>
    </row>
    <row r="98" spans="7:13" x14ac:dyDescent="0.3">
      <c r="G98" s="35">
        <v>41183</v>
      </c>
      <c r="H98" s="37">
        <v>50837</v>
      </c>
      <c r="M98">
        <f t="shared" si="2"/>
        <v>0</v>
      </c>
    </row>
    <row r="99" spans="7:13" x14ac:dyDescent="0.3">
      <c r="G99" s="34">
        <v>41214</v>
      </c>
      <c r="H99" s="36">
        <v>50014</v>
      </c>
      <c r="M99">
        <f t="shared" si="2"/>
        <v>0</v>
      </c>
    </row>
    <row r="100" spans="7:13" x14ac:dyDescent="0.3">
      <c r="G100" s="35">
        <v>41244</v>
      </c>
      <c r="H100" s="37">
        <v>76486</v>
      </c>
      <c r="M100">
        <f t="shared" si="2"/>
        <v>0</v>
      </c>
    </row>
    <row r="101" spans="7:13" x14ac:dyDescent="0.3">
      <c r="G101" s="34">
        <v>41275</v>
      </c>
      <c r="H101" s="36">
        <v>51790</v>
      </c>
      <c r="M101">
        <f t="shared" si="2"/>
        <v>0</v>
      </c>
    </row>
    <row r="102" spans="7:13" x14ac:dyDescent="0.3">
      <c r="G102" s="35">
        <v>41306</v>
      </c>
      <c r="H102" s="37">
        <v>47579</v>
      </c>
      <c r="M102">
        <f t="shared" si="2"/>
        <v>0</v>
      </c>
    </row>
    <row r="103" spans="7:13" x14ac:dyDescent="0.3">
      <c r="G103" s="34">
        <v>41334</v>
      </c>
      <c r="H103" s="36">
        <v>49465</v>
      </c>
      <c r="M103">
        <f t="shared" si="2"/>
        <v>0</v>
      </c>
    </row>
    <row r="104" spans="7:13" x14ac:dyDescent="0.3">
      <c r="G104" s="35">
        <v>41365</v>
      </c>
      <c r="H104" s="37">
        <v>48405</v>
      </c>
      <c r="M104">
        <f t="shared" si="2"/>
        <v>0</v>
      </c>
    </row>
    <row r="105" spans="7:13" x14ac:dyDescent="0.3">
      <c r="G105" s="34">
        <v>41395</v>
      </c>
      <c r="H105" s="36">
        <v>48882</v>
      </c>
      <c r="M105">
        <f t="shared" si="2"/>
        <v>0</v>
      </c>
    </row>
    <row r="106" spans="7:13" x14ac:dyDescent="0.3">
      <c r="G106" s="35">
        <v>41426</v>
      </c>
      <c r="H106" s="37">
        <v>70284</v>
      </c>
      <c r="M106">
        <f t="shared" si="2"/>
        <v>0</v>
      </c>
    </row>
    <row r="107" spans="7:13" x14ac:dyDescent="0.3">
      <c r="G107" s="34">
        <v>41456</v>
      </c>
      <c r="H107" s="36">
        <v>51703</v>
      </c>
      <c r="M107">
        <f t="shared" si="2"/>
        <v>0</v>
      </c>
    </row>
    <row r="108" spans="7:13" x14ac:dyDescent="0.3">
      <c r="G108" s="35">
        <v>41487</v>
      </c>
      <c r="H108" s="37">
        <v>49249</v>
      </c>
      <c r="M108">
        <f t="shared" si="2"/>
        <v>0</v>
      </c>
    </row>
    <row r="109" spans="7:13" x14ac:dyDescent="0.3">
      <c r="G109" s="34">
        <v>41518</v>
      </c>
      <c r="H109" s="36">
        <v>49232</v>
      </c>
      <c r="M109">
        <f t="shared" si="2"/>
        <v>0</v>
      </c>
    </row>
    <row r="110" spans="7:13" x14ac:dyDescent="0.3">
      <c r="G110" s="35">
        <v>41548</v>
      </c>
      <c r="H110" s="37">
        <v>49832</v>
      </c>
      <c r="M110">
        <f t="shared" si="2"/>
        <v>0</v>
      </c>
    </row>
    <row r="111" spans="7:13" x14ac:dyDescent="0.3">
      <c r="G111" s="34">
        <v>41579</v>
      </c>
      <c r="H111" s="36">
        <v>49448</v>
      </c>
      <c r="M111">
        <f t="shared" si="2"/>
        <v>0</v>
      </c>
    </row>
    <row r="112" spans="7:13" x14ac:dyDescent="0.3">
      <c r="G112" s="35">
        <v>41609</v>
      </c>
      <c r="H112" s="37">
        <v>74566</v>
      </c>
      <c r="M112">
        <f t="shared" si="2"/>
        <v>0</v>
      </c>
    </row>
    <row r="113" spans="7:13" x14ac:dyDescent="0.3">
      <c r="G113" s="34">
        <v>41640</v>
      </c>
      <c r="H113" s="36">
        <v>48685</v>
      </c>
      <c r="M113">
        <f t="shared" si="2"/>
        <v>0</v>
      </c>
    </row>
    <row r="114" spans="7:13" x14ac:dyDescent="0.3">
      <c r="G114" s="35">
        <v>41671</v>
      </c>
      <c r="H114" s="37">
        <v>43458</v>
      </c>
      <c r="M114">
        <f t="shared" si="2"/>
        <v>0</v>
      </c>
    </row>
    <row r="115" spans="7:13" x14ac:dyDescent="0.3">
      <c r="G115" s="34">
        <v>41699</v>
      </c>
      <c r="H115" s="36">
        <v>45112</v>
      </c>
      <c r="M115">
        <f t="shared" si="2"/>
        <v>0</v>
      </c>
    </row>
    <row r="116" spans="7:13" x14ac:dyDescent="0.3">
      <c r="G116" s="35">
        <v>41730</v>
      </c>
      <c r="H116" s="37">
        <v>44567</v>
      </c>
      <c r="M116">
        <f t="shared" si="2"/>
        <v>0</v>
      </c>
    </row>
    <row r="117" spans="7:13" x14ac:dyDescent="0.3">
      <c r="G117" s="34">
        <v>41760</v>
      </c>
      <c r="H117" s="36">
        <v>44714</v>
      </c>
      <c r="M117">
        <f t="shared" si="2"/>
        <v>0</v>
      </c>
    </row>
    <row r="118" spans="7:13" x14ac:dyDescent="0.3">
      <c r="G118" s="35">
        <v>41791</v>
      </c>
      <c r="H118" s="37">
        <v>64290</v>
      </c>
      <c r="M118">
        <f t="shared" si="2"/>
        <v>0</v>
      </c>
    </row>
    <row r="119" spans="7:13" x14ac:dyDescent="0.3">
      <c r="G119" s="34">
        <v>41821</v>
      </c>
      <c r="H119" s="36">
        <v>46393</v>
      </c>
      <c r="M119">
        <f t="shared" si="2"/>
        <v>0</v>
      </c>
    </row>
    <row r="120" spans="7:13" x14ac:dyDescent="0.3">
      <c r="G120" s="35">
        <v>41852</v>
      </c>
      <c r="H120" s="37">
        <v>46302</v>
      </c>
      <c r="M120">
        <f t="shared" si="2"/>
        <v>0</v>
      </c>
    </row>
    <row r="121" spans="7:13" x14ac:dyDescent="0.3">
      <c r="G121" s="34">
        <v>41883</v>
      </c>
      <c r="H121" s="36">
        <v>45638</v>
      </c>
      <c r="M121">
        <f t="shared" si="2"/>
        <v>0</v>
      </c>
    </row>
    <row r="122" spans="7:13" x14ac:dyDescent="0.3">
      <c r="G122" s="35">
        <v>41913</v>
      </c>
      <c r="H122" s="37">
        <v>46471</v>
      </c>
      <c r="M122">
        <f t="shared" si="2"/>
        <v>0</v>
      </c>
    </row>
    <row r="123" spans="7:13" x14ac:dyDescent="0.3">
      <c r="G123" s="34">
        <v>41944</v>
      </c>
      <c r="H123" s="36">
        <v>46328</v>
      </c>
      <c r="M123">
        <f t="shared" si="2"/>
        <v>0</v>
      </c>
    </row>
    <row r="124" spans="7:13" x14ac:dyDescent="0.3">
      <c r="G124" s="35">
        <v>41974</v>
      </c>
      <c r="H124" s="37">
        <v>72785</v>
      </c>
      <c r="M124">
        <f t="shared" si="2"/>
        <v>0</v>
      </c>
    </row>
    <row r="125" spans="7:13" x14ac:dyDescent="0.3">
      <c r="G125" s="34">
        <v>42005</v>
      </c>
      <c r="H125" s="36">
        <v>48979</v>
      </c>
      <c r="M125">
        <f t="shared" si="2"/>
        <v>0</v>
      </c>
    </row>
    <row r="126" spans="7:13" x14ac:dyDescent="0.3">
      <c r="G126" s="35">
        <v>42036</v>
      </c>
      <c r="H126" s="37">
        <v>45879</v>
      </c>
      <c r="M126">
        <f t="shared" si="2"/>
        <v>0</v>
      </c>
    </row>
    <row r="127" spans="7:13" x14ac:dyDescent="0.3">
      <c r="G127" s="34">
        <v>42064</v>
      </c>
      <c r="H127" s="36">
        <v>47202</v>
      </c>
      <c r="M127">
        <f t="shared" si="2"/>
        <v>0</v>
      </c>
    </row>
    <row r="128" spans="7:13" x14ac:dyDescent="0.3">
      <c r="G128" s="35">
        <v>42095</v>
      </c>
      <c r="H128" s="37">
        <v>46159</v>
      </c>
      <c r="M128">
        <f t="shared" si="2"/>
        <v>0</v>
      </c>
    </row>
    <row r="129" spans="7:13" x14ac:dyDescent="0.3">
      <c r="G129" s="34">
        <v>42125</v>
      </c>
      <c r="H129" s="36">
        <v>45697</v>
      </c>
      <c r="M129">
        <f t="shared" si="2"/>
        <v>0</v>
      </c>
    </row>
    <row r="130" spans="7:13" x14ac:dyDescent="0.3">
      <c r="G130" s="35">
        <v>42156</v>
      </c>
      <c r="H130" s="37">
        <v>68827</v>
      </c>
      <c r="M130">
        <f t="shared" si="2"/>
        <v>0</v>
      </c>
    </row>
    <row r="131" spans="7:13" x14ac:dyDescent="0.3">
      <c r="G131" s="34">
        <v>42186</v>
      </c>
      <c r="H131" s="36">
        <v>48466</v>
      </c>
      <c r="M131">
        <f t="shared" si="2"/>
        <v>0</v>
      </c>
    </row>
    <row r="132" spans="7:13" x14ac:dyDescent="0.3">
      <c r="G132" s="35">
        <v>42217</v>
      </c>
      <c r="H132" s="37">
        <v>48386</v>
      </c>
      <c r="M132">
        <f t="shared" si="2"/>
        <v>0</v>
      </c>
    </row>
    <row r="133" spans="7:13" x14ac:dyDescent="0.3">
      <c r="G133" s="34">
        <v>42248</v>
      </c>
      <c r="H133" s="36">
        <v>48766</v>
      </c>
      <c r="M133">
        <f t="shared" si="2"/>
        <v>0</v>
      </c>
    </row>
    <row r="134" spans="7:13" x14ac:dyDescent="0.3">
      <c r="G134" s="35">
        <v>42278</v>
      </c>
      <c r="H134" s="37">
        <v>48860</v>
      </c>
      <c r="M134">
        <f t="shared" si="2"/>
        <v>0</v>
      </c>
    </row>
    <row r="135" spans="7:13" x14ac:dyDescent="0.3">
      <c r="G135" s="34">
        <v>42309</v>
      </c>
      <c r="H135" s="36">
        <v>48615</v>
      </c>
      <c r="M135">
        <f t="shared" si="2"/>
        <v>0</v>
      </c>
    </row>
    <row r="136" spans="7:13" x14ac:dyDescent="0.3">
      <c r="G136" s="35">
        <v>42339</v>
      </c>
      <c r="H136" s="37">
        <v>73900</v>
      </c>
      <c r="M136">
        <f t="shared" si="2"/>
        <v>0</v>
      </c>
    </row>
    <row r="137" spans="7:13" x14ac:dyDescent="0.3">
      <c r="G137" s="34">
        <v>42370</v>
      </c>
      <c r="H137" s="36">
        <v>47207</v>
      </c>
      <c r="M137">
        <f t="shared" si="2"/>
        <v>0</v>
      </c>
    </row>
    <row r="138" spans="7:13" x14ac:dyDescent="0.3">
      <c r="G138" s="35">
        <v>42401</v>
      </c>
      <c r="H138" s="37">
        <v>45200</v>
      </c>
      <c r="M138">
        <f t="shared" si="2"/>
        <v>0</v>
      </c>
    </row>
    <row r="139" spans="7:13" x14ac:dyDescent="0.3">
      <c r="G139" s="34">
        <v>42430</v>
      </c>
      <c r="H139" s="36">
        <v>45727</v>
      </c>
      <c r="M139">
        <f t="shared" si="2"/>
        <v>0</v>
      </c>
    </row>
    <row r="140" spans="7:13" x14ac:dyDescent="0.3">
      <c r="G140" s="35">
        <v>42461</v>
      </c>
      <c r="H140" s="37">
        <v>43532</v>
      </c>
      <c r="M140">
        <f t="shared" si="2"/>
        <v>0</v>
      </c>
    </row>
    <row r="141" spans="7:13" x14ac:dyDescent="0.3">
      <c r="G141" s="34">
        <v>42491</v>
      </c>
      <c r="H141" s="36">
        <v>42689</v>
      </c>
      <c r="M141">
        <f t="shared" si="2"/>
        <v>0</v>
      </c>
    </row>
    <row r="142" spans="7:13" x14ac:dyDescent="0.3">
      <c r="G142" s="35">
        <v>42522</v>
      </c>
      <c r="H142" s="37">
        <v>62027</v>
      </c>
      <c r="M142">
        <f t="shared" si="2"/>
        <v>0</v>
      </c>
    </row>
    <row r="143" spans="7:13" x14ac:dyDescent="0.3">
      <c r="G143" s="34">
        <v>42552</v>
      </c>
      <c r="H143" s="36">
        <v>44027</v>
      </c>
      <c r="M143">
        <f t="shared" si="2"/>
        <v>0</v>
      </c>
    </row>
    <row r="144" spans="7:13" x14ac:dyDescent="0.3">
      <c r="G144" s="35">
        <v>42583</v>
      </c>
      <c r="H144" s="37">
        <v>45225</v>
      </c>
      <c r="M144">
        <f t="shared" si="2"/>
        <v>0</v>
      </c>
    </row>
    <row r="145" spans="7:13" x14ac:dyDescent="0.3">
      <c r="G145" s="34">
        <v>42614</v>
      </c>
      <c r="H145" s="36">
        <v>44407</v>
      </c>
      <c r="M145">
        <f t="shared" si="2"/>
        <v>0</v>
      </c>
    </row>
    <row r="146" spans="7:13" x14ac:dyDescent="0.3">
      <c r="G146" s="35">
        <v>42644</v>
      </c>
      <c r="H146" s="37">
        <v>44909</v>
      </c>
      <c r="M146">
        <f t="shared" si="2"/>
        <v>0</v>
      </c>
    </row>
    <row r="147" spans="7:13" x14ac:dyDescent="0.3">
      <c r="G147" s="34">
        <v>42675</v>
      </c>
      <c r="H147" s="36">
        <v>45542</v>
      </c>
      <c r="M147">
        <f t="shared" si="2"/>
        <v>0</v>
      </c>
    </row>
    <row r="148" spans="7:13" x14ac:dyDescent="0.3">
      <c r="G148" s="35">
        <v>42705</v>
      </c>
      <c r="H148" s="37">
        <v>71178</v>
      </c>
      <c r="M148">
        <f t="shared" si="2"/>
        <v>0</v>
      </c>
    </row>
    <row r="149" spans="7:13" x14ac:dyDescent="0.3">
      <c r="G149" s="34">
        <v>42736</v>
      </c>
      <c r="H149" s="36">
        <v>47700</v>
      </c>
      <c r="M149">
        <f t="shared" ref="M149:M212" si="3">+(L149/$J$19)*100</f>
        <v>0</v>
      </c>
    </row>
    <row r="150" spans="7:13" x14ac:dyDescent="0.3">
      <c r="G150" s="35">
        <v>42767</v>
      </c>
      <c r="H150" s="37">
        <v>44076</v>
      </c>
      <c r="M150">
        <f t="shared" si="3"/>
        <v>0</v>
      </c>
    </row>
    <row r="151" spans="7:13" x14ac:dyDescent="0.3">
      <c r="G151" s="34">
        <v>42795</v>
      </c>
      <c r="H151" s="36">
        <v>45760</v>
      </c>
      <c r="M151">
        <f t="shared" si="3"/>
        <v>0</v>
      </c>
    </row>
    <row r="152" spans="7:13" x14ac:dyDescent="0.3">
      <c r="G152" s="35">
        <v>42826</v>
      </c>
      <c r="H152" s="37">
        <v>43826</v>
      </c>
      <c r="M152">
        <f t="shared" si="3"/>
        <v>0</v>
      </c>
    </row>
    <row r="153" spans="7:13" x14ac:dyDescent="0.3">
      <c r="G153" s="34">
        <v>42856</v>
      </c>
      <c r="H153" s="36">
        <v>45199</v>
      </c>
      <c r="M153">
        <f t="shared" si="3"/>
        <v>0</v>
      </c>
    </row>
    <row r="154" spans="7:13" x14ac:dyDescent="0.3">
      <c r="G154" s="35">
        <v>42887</v>
      </c>
      <c r="H154" s="37">
        <v>66777</v>
      </c>
      <c r="M154">
        <f t="shared" si="3"/>
        <v>0</v>
      </c>
    </row>
    <row r="155" spans="7:13" x14ac:dyDescent="0.3">
      <c r="G155" s="34">
        <v>42917</v>
      </c>
      <c r="H155" s="36">
        <v>47398</v>
      </c>
      <c r="M155">
        <f t="shared" si="3"/>
        <v>0</v>
      </c>
    </row>
    <row r="156" spans="7:13" x14ac:dyDescent="0.3">
      <c r="G156" s="35">
        <v>42948</v>
      </c>
      <c r="H156" s="37">
        <v>46131</v>
      </c>
      <c r="M156">
        <f t="shared" si="3"/>
        <v>0</v>
      </c>
    </row>
    <row r="157" spans="7:13" x14ac:dyDescent="0.3">
      <c r="G157" s="34">
        <v>42979</v>
      </c>
      <c r="H157" s="36">
        <v>45491</v>
      </c>
      <c r="M157">
        <f t="shared" si="3"/>
        <v>0</v>
      </c>
    </row>
    <row r="158" spans="7:13" x14ac:dyDescent="0.3">
      <c r="G158" s="35">
        <v>43009</v>
      </c>
      <c r="H158" s="37">
        <v>47284</v>
      </c>
      <c r="M158">
        <f t="shared" si="3"/>
        <v>0</v>
      </c>
    </row>
    <row r="159" spans="7:13" x14ac:dyDescent="0.3">
      <c r="G159" s="34">
        <v>43040</v>
      </c>
      <c r="H159" s="36">
        <v>46848</v>
      </c>
      <c r="M159">
        <f t="shared" si="3"/>
        <v>0</v>
      </c>
    </row>
    <row r="160" spans="7:13" x14ac:dyDescent="0.3">
      <c r="G160" s="35">
        <v>43070</v>
      </c>
      <c r="H160" s="37">
        <v>70552</v>
      </c>
      <c r="M160">
        <f t="shared" si="3"/>
        <v>0</v>
      </c>
    </row>
    <row r="161" spans="7:13" x14ac:dyDescent="0.3">
      <c r="G161" s="34">
        <v>43101</v>
      </c>
      <c r="H161" s="36">
        <v>47353</v>
      </c>
      <c r="M161">
        <f t="shared" si="3"/>
        <v>0</v>
      </c>
    </row>
    <row r="162" spans="7:13" x14ac:dyDescent="0.3">
      <c r="G162" s="35">
        <v>43132</v>
      </c>
      <c r="H162" s="37">
        <v>43721</v>
      </c>
      <c r="M162">
        <f t="shared" si="3"/>
        <v>0</v>
      </c>
    </row>
    <row r="163" spans="7:13" x14ac:dyDescent="0.3">
      <c r="G163" s="34">
        <v>43160</v>
      </c>
      <c r="H163" s="36">
        <v>45029</v>
      </c>
      <c r="M163">
        <f t="shared" si="3"/>
        <v>0</v>
      </c>
    </row>
    <row r="164" spans="7:13" x14ac:dyDescent="0.3">
      <c r="G164" s="35">
        <v>43191</v>
      </c>
      <c r="H164" s="37">
        <v>43678</v>
      </c>
      <c r="M164">
        <f t="shared" si="3"/>
        <v>0</v>
      </c>
    </row>
    <row r="165" spans="7:13" x14ac:dyDescent="0.3">
      <c r="G165" s="34">
        <v>43221</v>
      </c>
      <c r="H165" s="36">
        <v>44411</v>
      </c>
      <c r="M165">
        <f t="shared" si="3"/>
        <v>0</v>
      </c>
    </row>
    <row r="166" spans="7:13" x14ac:dyDescent="0.3">
      <c r="G166" s="35">
        <v>43252</v>
      </c>
      <c r="H166" s="37">
        <v>62790</v>
      </c>
      <c r="M166">
        <f t="shared" si="3"/>
        <v>0</v>
      </c>
    </row>
    <row r="167" spans="7:13" x14ac:dyDescent="0.3">
      <c r="G167" s="34">
        <v>43282</v>
      </c>
      <c r="H167" s="36">
        <v>43421</v>
      </c>
      <c r="M167">
        <f t="shared" si="3"/>
        <v>0</v>
      </c>
    </row>
    <row r="168" spans="7:13" x14ac:dyDescent="0.3">
      <c r="G168" s="35">
        <v>43313</v>
      </c>
      <c r="H168" s="37">
        <v>42620</v>
      </c>
      <c r="M168">
        <f t="shared" si="3"/>
        <v>0</v>
      </c>
    </row>
    <row r="169" spans="7:13" x14ac:dyDescent="0.3">
      <c r="G169" s="34">
        <v>43344</v>
      </c>
      <c r="H169" s="36">
        <v>40131</v>
      </c>
      <c r="M169">
        <f t="shared" si="3"/>
        <v>0</v>
      </c>
    </row>
    <row r="170" spans="7:13" x14ac:dyDescent="0.3">
      <c r="G170" s="35">
        <v>43374</v>
      </c>
      <c r="H170" s="37">
        <v>40684</v>
      </c>
      <c r="M170">
        <f t="shared" si="3"/>
        <v>0</v>
      </c>
    </row>
    <row r="171" spans="7:13" x14ac:dyDescent="0.3">
      <c r="G171" s="34">
        <v>43405</v>
      </c>
      <c r="H171" s="36">
        <v>40474</v>
      </c>
      <c r="M171">
        <f t="shared" si="3"/>
        <v>0</v>
      </c>
    </row>
    <row r="172" spans="7:13" x14ac:dyDescent="0.3">
      <c r="G172" s="35">
        <v>43435</v>
      </c>
      <c r="H172" s="37">
        <v>61818</v>
      </c>
      <c r="M172">
        <f t="shared" si="3"/>
        <v>0</v>
      </c>
    </row>
    <row r="173" spans="7:13" x14ac:dyDescent="0.3">
      <c r="G173" s="34">
        <v>43466</v>
      </c>
      <c r="H173" s="36">
        <v>42336</v>
      </c>
      <c r="M173">
        <f t="shared" si="3"/>
        <v>0</v>
      </c>
    </row>
    <row r="174" spans="7:13" x14ac:dyDescent="0.3">
      <c r="G174" s="35">
        <v>43497</v>
      </c>
      <c r="H174" s="37">
        <v>38317</v>
      </c>
      <c r="M174">
        <f t="shared" si="3"/>
        <v>0</v>
      </c>
    </row>
    <row r="175" spans="7:13" x14ac:dyDescent="0.3">
      <c r="G175" s="34">
        <v>43525</v>
      </c>
      <c r="H175" s="36">
        <v>39621</v>
      </c>
      <c r="M175">
        <f t="shared" si="3"/>
        <v>0</v>
      </c>
    </row>
    <row r="176" spans="7:13" x14ac:dyDescent="0.3">
      <c r="G176" s="35">
        <v>43556</v>
      </c>
      <c r="H176" s="37">
        <v>39611</v>
      </c>
      <c r="M176">
        <f t="shared" si="3"/>
        <v>0</v>
      </c>
    </row>
    <row r="177" spans="7:13" x14ac:dyDescent="0.3">
      <c r="G177" s="34">
        <v>43586</v>
      </c>
      <c r="H177" s="36">
        <v>39729</v>
      </c>
      <c r="M177">
        <f t="shared" si="3"/>
        <v>0</v>
      </c>
    </row>
    <row r="178" spans="7:13" x14ac:dyDescent="0.3">
      <c r="G178" s="35">
        <v>43617</v>
      </c>
      <c r="H178" s="37">
        <v>57018</v>
      </c>
      <c r="M178">
        <f t="shared" si="3"/>
        <v>0</v>
      </c>
    </row>
    <row r="179" spans="7:13" x14ac:dyDescent="0.3">
      <c r="G179" s="34">
        <v>43647</v>
      </c>
      <c r="H179" s="36">
        <v>40728</v>
      </c>
      <c r="M179">
        <f t="shared" si="3"/>
        <v>0</v>
      </c>
    </row>
    <row r="180" spans="7:13" x14ac:dyDescent="0.3">
      <c r="G180" s="35">
        <v>43678</v>
      </c>
      <c r="H180" s="37">
        <v>40041</v>
      </c>
      <c r="M180">
        <f t="shared" si="3"/>
        <v>0</v>
      </c>
    </row>
    <row r="181" spans="7:13" x14ac:dyDescent="0.3">
      <c r="G181" s="34">
        <v>43709</v>
      </c>
      <c r="H181" s="36">
        <v>38728</v>
      </c>
      <c r="M181">
        <f t="shared" si="3"/>
        <v>0</v>
      </c>
    </row>
    <row r="182" spans="7:13" x14ac:dyDescent="0.3">
      <c r="G182" s="35">
        <v>43739</v>
      </c>
      <c r="H182" s="37">
        <v>40682</v>
      </c>
      <c r="M182">
        <f t="shared" si="3"/>
        <v>0</v>
      </c>
    </row>
    <row r="183" spans="7:13" x14ac:dyDescent="0.3">
      <c r="G183" s="34">
        <v>43770</v>
      </c>
      <c r="H183" s="36">
        <v>38520</v>
      </c>
      <c r="M183">
        <f t="shared" si="3"/>
        <v>0</v>
      </c>
    </row>
    <row r="184" spans="7:13" x14ac:dyDescent="0.3">
      <c r="G184" s="35">
        <v>43800</v>
      </c>
      <c r="H184" s="37">
        <v>58190</v>
      </c>
      <c r="M184">
        <f t="shared" si="3"/>
        <v>0</v>
      </c>
    </row>
    <row r="185" spans="7:13" x14ac:dyDescent="0.3">
      <c r="G185" s="34">
        <v>43831</v>
      </c>
      <c r="H185" s="36">
        <v>40917</v>
      </c>
      <c r="M185">
        <f t="shared" si="3"/>
        <v>0</v>
      </c>
    </row>
    <row r="186" spans="7:13" x14ac:dyDescent="0.3">
      <c r="G186" s="35">
        <v>43862</v>
      </c>
      <c r="H186" s="37">
        <v>39386</v>
      </c>
      <c r="M186">
        <f t="shared" si="3"/>
        <v>0</v>
      </c>
    </row>
    <row r="187" spans="7:13" x14ac:dyDescent="0.3">
      <c r="G187" s="34">
        <v>43891</v>
      </c>
      <c r="H187" s="36">
        <v>39156</v>
      </c>
      <c r="M187">
        <f t="shared" si="3"/>
        <v>0</v>
      </c>
    </row>
    <row r="188" spans="7:13" x14ac:dyDescent="0.3">
      <c r="G188" s="35">
        <v>43922</v>
      </c>
      <c r="H188" s="37">
        <v>36269</v>
      </c>
      <c r="M188">
        <f t="shared" si="3"/>
        <v>0</v>
      </c>
    </row>
    <row r="189" spans="7:13" x14ac:dyDescent="0.3">
      <c r="G189" s="34">
        <v>43952</v>
      </c>
      <c r="H189" s="36">
        <v>35900</v>
      </c>
      <c r="M189">
        <f t="shared" si="3"/>
        <v>0</v>
      </c>
    </row>
    <row r="190" spans="7:13" x14ac:dyDescent="0.3">
      <c r="G190" s="35">
        <v>43983</v>
      </c>
      <c r="H190" s="37">
        <v>53572</v>
      </c>
      <c r="M190">
        <f t="shared" si="3"/>
        <v>0</v>
      </c>
    </row>
    <row r="191" spans="7:13" x14ac:dyDescent="0.3">
      <c r="G191" s="34">
        <v>44013</v>
      </c>
      <c r="H191" s="36">
        <v>37982</v>
      </c>
      <c r="M191">
        <f t="shared" si="3"/>
        <v>0</v>
      </c>
    </row>
    <row r="192" spans="7:13" x14ac:dyDescent="0.3">
      <c r="G192" s="35">
        <v>44044</v>
      </c>
      <c r="H192" s="37">
        <v>37149</v>
      </c>
      <c r="M192">
        <f t="shared" si="3"/>
        <v>0</v>
      </c>
    </row>
    <row r="193" spans="7:13" x14ac:dyDescent="0.3">
      <c r="G193" s="34">
        <v>44075</v>
      </c>
      <c r="H193" s="36">
        <v>38018</v>
      </c>
      <c r="M193">
        <f t="shared" si="3"/>
        <v>0</v>
      </c>
    </row>
    <row r="194" spans="7:13" x14ac:dyDescent="0.3">
      <c r="G194" s="35">
        <v>44105</v>
      </c>
      <c r="H194" s="37">
        <v>38384</v>
      </c>
      <c r="M194">
        <f t="shared" si="3"/>
        <v>0</v>
      </c>
    </row>
    <row r="195" spans="7:13" x14ac:dyDescent="0.3">
      <c r="G195" s="34">
        <v>44136</v>
      </c>
      <c r="H195" s="36">
        <v>38216</v>
      </c>
      <c r="M195">
        <f t="shared" si="3"/>
        <v>0</v>
      </c>
    </row>
    <row r="196" spans="7:13" x14ac:dyDescent="0.3">
      <c r="G196" s="35">
        <v>44166</v>
      </c>
      <c r="H196" s="37">
        <v>57779</v>
      </c>
      <c r="M196">
        <f t="shared" si="3"/>
        <v>0</v>
      </c>
    </row>
    <row r="197" spans="7:13" x14ac:dyDescent="0.3">
      <c r="G197" s="34">
        <v>44197</v>
      </c>
      <c r="H197" s="36">
        <v>38927</v>
      </c>
      <c r="M197">
        <f t="shared" si="3"/>
        <v>0</v>
      </c>
    </row>
    <row r="198" spans="7:13" x14ac:dyDescent="0.3">
      <c r="G198" s="35">
        <v>44228</v>
      </c>
      <c r="H198" s="37">
        <v>36865</v>
      </c>
      <c r="M198">
        <f t="shared" si="3"/>
        <v>0</v>
      </c>
    </row>
    <row r="199" spans="7:13" x14ac:dyDescent="0.3">
      <c r="G199" s="34">
        <v>44256</v>
      </c>
      <c r="H199" s="36">
        <v>38322</v>
      </c>
      <c r="M199">
        <f t="shared" si="3"/>
        <v>0</v>
      </c>
    </row>
    <row r="200" spans="7:13" x14ac:dyDescent="0.3">
      <c r="G200" s="35">
        <v>44287</v>
      </c>
      <c r="H200" s="37">
        <v>37432</v>
      </c>
      <c r="M200">
        <f t="shared" si="3"/>
        <v>0</v>
      </c>
    </row>
    <row r="201" spans="7:13" x14ac:dyDescent="0.3">
      <c r="G201" s="34">
        <v>44317</v>
      </c>
      <c r="H201" s="36">
        <v>37036</v>
      </c>
      <c r="M201">
        <f t="shared" si="3"/>
        <v>0</v>
      </c>
    </row>
    <row r="202" spans="7:13" x14ac:dyDescent="0.3">
      <c r="G202" s="35">
        <v>44348</v>
      </c>
      <c r="H202" s="37">
        <v>53783</v>
      </c>
      <c r="M202">
        <f t="shared" si="3"/>
        <v>0</v>
      </c>
    </row>
    <row r="203" spans="7:13" x14ac:dyDescent="0.3">
      <c r="G203" s="34">
        <v>44378</v>
      </c>
      <c r="H203" s="36">
        <v>38907</v>
      </c>
      <c r="M203">
        <f t="shared" si="3"/>
        <v>0</v>
      </c>
    </row>
    <row r="204" spans="7:13" x14ac:dyDescent="0.3">
      <c r="G204" s="35">
        <v>44409</v>
      </c>
      <c r="H204" s="37">
        <v>38447</v>
      </c>
      <c r="M204">
        <f t="shared" si="3"/>
        <v>0</v>
      </c>
    </row>
    <row r="205" spans="7:13" x14ac:dyDescent="0.3">
      <c r="G205" s="34">
        <v>44440</v>
      </c>
      <c r="H205" s="36">
        <v>37766</v>
      </c>
      <c r="M205">
        <f t="shared" si="3"/>
        <v>0</v>
      </c>
    </row>
    <row r="206" spans="7:13" x14ac:dyDescent="0.3">
      <c r="G206" s="35">
        <v>44470</v>
      </c>
      <c r="H206" s="37">
        <v>38820</v>
      </c>
      <c r="M206">
        <f t="shared" si="3"/>
        <v>0</v>
      </c>
    </row>
    <row r="207" spans="7:13" x14ac:dyDescent="0.3">
      <c r="G207" s="34">
        <v>44501</v>
      </c>
      <c r="H207" s="36">
        <v>38236</v>
      </c>
      <c r="M207">
        <f t="shared" si="3"/>
        <v>0</v>
      </c>
    </row>
    <row r="208" spans="7:13" x14ac:dyDescent="0.3">
      <c r="G208" s="35">
        <v>44531</v>
      </c>
      <c r="H208" s="37">
        <v>58769</v>
      </c>
      <c r="M208">
        <f t="shared" si="3"/>
        <v>0</v>
      </c>
    </row>
    <row r="209" spans="7:13" x14ac:dyDescent="0.3">
      <c r="G209" s="34">
        <v>44562</v>
      </c>
      <c r="H209" s="36">
        <v>39157</v>
      </c>
      <c r="M209">
        <f t="shared" si="3"/>
        <v>0</v>
      </c>
    </row>
    <row r="210" spans="7:13" x14ac:dyDescent="0.3">
      <c r="G210" s="35">
        <v>44593</v>
      </c>
      <c r="H210" s="37">
        <v>37329</v>
      </c>
      <c r="M210">
        <f t="shared" si="3"/>
        <v>0</v>
      </c>
    </row>
    <row r="211" spans="7:13" x14ac:dyDescent="0.3">
      <c r="G211" s="34">
        <v>44621</v>
      </c>
      <c r="H211" s="36">
        <v>38736</v>
      </c>
      <c r="M211">
        <f t="shared" si="3"/>
        <v>0</v>
      </c>
    </row>
    <row r="212" spans="7:13" x14ac:dyDescent="0.3">
      <c r="G212" s="35">
        <v>44652</v>
      </c>
      <c r="H212" s="37">
        <v>37701</v>
      </c>
      <c r="M212">
        <f t="shared" si="3"/>
        <v>0</v>
      </c>
    </row>
    <row r="213" spans="7:13" x14ac:dyDescent="0.3">
      <c r="G213" s="34">
        <v>44682</v>
      </c>
      <c r="H213" s="36">
        <v>37833</v>
      </c>
      <c r="M213">
        <f t="shared" ref="M213:M276" si="4">+(L213/$J$19)*100</f>
        <v>0</v>
      </c>
    </row>
    <row r="214" spans="7:13" x14ac:dyDescent="0.3">
      <c r="G214" s="35">
        <v>44713</v>
      </c>
      <c r="H214" s="37">
        <v>53552</v>
      </c>
      <c r="M214">
        <f t="shared" si="4"/>
        <v>0</v>
      </c>
    </row>
    <row r="215" spans="7:13" x14ac:dyDescent="0.3">
      <c r="G215" s="34">
        <v>44743</v>
      </c>
      <c r="H215" s="36">
        <v>37608</v>
      </c>
      <c r="M215">
        <f t="shared" si="4"/>
        <v>0</v>
      </c>
    </row>
    <row r="216" spans="7:13" x14ac:dyDescent="0.3">
      <c r="G216" s="35">
        <v>44774</v>
      </c>
      <c r="H216" s="37">
        <v>36995</v>
      </c>
      <c r="M216">
        <f t="shared" si="4"/>
        <v>0</v>
      </c>
    </row>
    <row r="217" spans="7:13" x14ac:dyDescent="0.3">
      <c r="G217" s="34">
        <v>44805</v>
      </c>
      <c r="H217" s="36">
        <v>37122</v>
      </c>
      <c r="M217">
        <f t="shared" si="4"/>
        <v>0</v>
      </c>
    </row>
    <row r="218" spans="7:13" x14ac:dyDescent="0.3">
      <c r="G218" s="35">
        <v>44835</v>
      </c>
      <c r="H218" s="37">
        <v>36712</v>
      </c>
      <c r="M218">
        <f t="shared" si="4"/>
        <v>0</v>
      </c>
    </row>
    <row r="219" spans="7:13" x14ac:dyDescent="0.3">
      <c r="G219" s="34">
        <v>44866</v>
      </c>
      <c r="H219" s="36">
        <v>36890</v>
      </c>
      <c r="M219">
        <f t="shared" si="4"/>
        <v>0</v>
      </c>
    </row>
    <row r="220" spans="7:13" x14ac:dyDescent="0.3">
      <c r="G220" s="35">
        <v>44896</v>
      </c>
      <c r="H220" s="37">
        <v>59685</v>
      </c>
      <c r="M220">
        <f t="shared" si="4"/>
        <v>0</v>
      </c>
    </row>
    <row r="221" spans="7:13" x14ac:dyDescent="0.3">
      <c r="G221" s="34">
        <v>44927</v>
      </c>
      <c r="H221" s="36">
        <v>39294</v>
      </c>
      <c r="M221">
        <f t="shared" si="4"/>
        <v>0</v>
      </c>
    </row>
    <row r="222" spans="7:13" x14ac:dyDescent="0.3">
      <c r="G222" s="35">
        <v>44958</v>
      </c>
      <c r="H222" s="37">
        <v>36958</v>
      </c>
      <c r="M222">
        <f t="shared" si="4"/>
        <v>0</v>
      </c>
    </row>
    <row r="223" spans="7:13" x14ac:dyDescent="0.3">
      <c r="G223" s="34">
        <v>44986</v>
      </c>
      <c r="H223" s="36">
        <v>38630</v>
      </c>
      <c r="M223">
        <f t="shared" si="4"/>
        <v>0</v>
      </c>
    </row>
    <row r="224" spans="7:13" x14ac:dyDescent="0.3">
      <c r="G224" s="35">
        <v>45017</v>
      </c>
      <c r="H224" s="37">
        <v>36987</v>
      </c>
      <c r="M224">
        <f t="shared" si="4"/>
        <v>0</v>
      </c>
    </row>
    <row r="225" spans="7:13" x14ac:dyDescent="0.3">
      <c r="G225" s="34">
        <v>45047</v>
      </c>
      <c r="H225" s="36">
        <v>36685</v>
      </c>
      <c r="M225">
        <f t="shared" si="4"/>
        <v>0</v>
      </c>
    </row>
    <row r="226" spans="7:13" x14ac:dyDescent="0.3">
      <c r="G226" s="35">
        <v>45078</v>
      </c>
      <c r="H226" s="37">
        <v>54517</v>
      </c>
      <c r="M226">
        <f t="shared" si="4"/>
        <v>0</v>
      </c>
    </row>
    <row r="227" spans="7:13" x14ac:dyDescent="0.3">
      <c r="G227" s="34">
        <v>45108</v>
      </c>
      <c r="H227" s="36">
        <v>38641</v>
      </c>
      <c r="M227">
        <f t="shared" si="4"/>
        <v>0</v>
      </c>
    </row>
    <row r="228" spans="7:13" x14ac:dyDescent="0.3">
      <c r="G228" s="35">
        <v>45139</v>
      </c>
      <c r="H228" s="37">
        <v>38470</v>
      </c>
      <c r="M228">
        <f t="shared" si="4"/>
        <v>0</v>
      </c>
    </row>
    <row r="229" spans="7:13" x14ac:dyDescent="0.3">
      <c r="G229" s="34">
        <v>45170</v>
      </c>
      <c r="H229" s="36">
        <v>37064</v>
      </c>
      <c r="M229">
        <f t="shared" si="4"/>
        <v>0</v>
      </c>
    </row>
    <row r="230" spans="7:13" x14ac:dyDescent="0.3">
      <c r="G230" s="35">
        <v>45200</v>
      </c>
      <c r="H230" s="37">
        <v>37560</v>
      </c>
      <c r="M230">
        <f t="shared" si="4"/>
        <v>0</v>
      </c>
    </row>
    <row r="231" spans="7:13" x14ac:dyDescent="0.3">
      <c r="G231" s="34">
        <v>45231</v>
      </c>
      <c r="H231" s="36">
        <v>36345</v>
      </c>
      <c r="M231">
        <f t="shared" si="4"/>
        <v>0</v>
      </c>
    </row>
    <row r="232" spans="7:13" x14ac:dyDescent="0.3">
      <c r="G232" s="35">
        <v>45261</v>
      </c>
      <c r="H232" s="37">
        <v>49529</v>
      </c>
      <c r="M232">
        <f t="shared" si="4"/>
        <v>0</v>
      </c>
    </row>
    <row r="233" spans="7:13" x14ac:dyDescent="0.3">
      <c r="G233" s="34">
        <v>45292</v>
      </c>
      <c r="H233" s="36">
        <v>34342</v>
      </c>
      <c r="M233">
        <f t="shared" si="4"/>
        <v>0</v>
      </c>
    </row>
    <row r="234" spans="7:13" x14ac:dyDescent="0.3">
      <c r="G234" s="35">
        <v>45323</v>
      </c>
      <c r="H234" s="37">
        <v>34183</v>
      </c>
      <c r="M234">
        <f t="shared" si="4"/>
        <v>0</v>
      </c>
    </row>
    <row r="235" spans="7:13" x14ac:dyDescent="0.3">
      <c r="G235" s="34">
        <v>45352</v>
      </c>
      <c r="H235" s="36">
        <v>33835</v>
      </c>
      <c r="M235">
        <f t="shared" si="4"/>
        <v>0</v>
      </c>
    </row>
    <row r="236" spans="7:13" x14ac:dyDescent="0.3">
      <c r="G236" s="35">
        <v>45383</v>
      </c>
      <c r="H236" s="37">
        <v>36575</v>
      </c>
      <c r="M236">
        <f t="shared" si="4"/>
        <v>0</v>
      </c>
    </row>
    <row r="237" spans="7:13" x14ac:dyDescent="0.3">
      <c r="G237" s="34">
        <v>45413</v>
      </c>
      <c r="H237" s="36">
        <v>35344</v>
      </c>
      <c r="M237">
        <f t="shared" si="4"/>
        <v>0</v>
      </c>
    </row>
    <row r="238" spans="7:13" x14ac:dyDescent="0.3">
      <c r="G238" s="35">
        <v>45444</v>
      </c>
      <c r="H238" s="37">
        <v>51826</v>
      </c>
      <c r="M238">
        <f t="shared" si="4"/>
        <v>0</v>
      </c>
    </row>
    <row r="239" spans="7:13" x14ac:dyDescent="0.3">
      <c r="G239" s="34">
        <v>45474</v>
      </c>
      <c r="H239" s="36">
        <v>38061</v>
      </c>
      <c r="M239">
        <f t="shared" si="4"/>
        <v>0</v>
      </c>
    </row>
    <row r="240" spans="7:13" x14ac:dyDescent="0.3">
      <c r="G240" s="35">
        <v>45505</v>
      </c>
      <c r="H240" s="37">
        <v>37373</v>
      </c>
      <c r="M240">
        <f t="shared" si="4"/>
        <v>0</v>
      </c>
    </row>
    <row r="241" spans="7:13" x14ac:dyDescent="0.3">
      <c r="G241" s="34">
        <v>45536</v>
      </c>
      <c r="H241" s="36">
        <v>36997</v>
      </c>
      <c r="M241">
        <f t="shared" si="4"/>
        <v>0</v>
      </c>
    </row>
    <row r="242" spans="7:13" x14ac:dyDescent="0.3">
      <c r="G242" s="35">
        <v>45566</v>
      </c>
      <c r="H242" s="37">
        <v>38009</v>
      </c>
      <c r="M242">
        <f t="shared" si="4"/>
        <v>0</v>
      </c>
    </row>
    <row r="243" spans="7:13" x14ac:dyDescent="0.3">
      <c r="G243" s="34">
        <v>45597</v>
      </c>
      <c r="H243" s="36">
        <v>37541</v>
      </c>
      <c r="M243">
        <f t="shared" si="4"/>
        <v>0</v>
      </c>
    </row>
    <row r="244" spans="7:13" x14ac:dyDescent="0.3">
      <c r="G244" s="35">
        <v>45627</v>
      </c>
      <c r="H244" s="37">
        <v>57907</v>
      </c>
      <c r="M244">
        <f t="shared" si="4"/>
        <v>0</v>
      </c>
    </row>
    <row r="245" spans="7:13" x14ac:dyDescent="0.3">
      <c r="G245" s="34">
        <v>45658</v>
      </c>
      <c r="H245" s="36">
        <v>39892</v>
      </c>
      <c r="M245">
        <f t="shared" si="4"/>
        <v>0</v>
      </c>
    </row>
    <row r="246" spans="7:13" x14ac:dyDescent="0.3">
      <c r="G246" s="35">
        <v>45689</v>
      </c>
      <c r="H246" s="37">
        <v>37876</v>
      </c>
      <c r="M246">
        <f t="shared" si="4"/>
        <v>0</v>
      </c>
    </row>
    <row r="247" spans="7:13" x14ac:dyDescent="0.3">
      <c r="G247" s="34">
        <v>45717</v>
      </c>
      <c r="H247" s="36">
        <v>38972</v>
      </c>
      <c r="M247">
        <f t="shared" si="4"/>
        <v>0</v>
      </c>
    </row>
    <row r="248" spans="7:13" x14ac:dyDescent="0.3">
      <c r="G248" s="35">
        <v>45748</v>
      </c>
      <c r="H248" s="37">
        <v>38318</v>
      </c>
      <c r="M248">
        <f t="shared" si="4"/>
        <v>0</v>
      </c>
    </row>
    <row r="249" spans="7:13" x14ac:dyDescent="0.3">
      <c r="G249" s="34">
        <v>45778</v>
      </c>
      <c r="H249" s="36">
        <v>37732</v>
      </c>
      <c r="M249">
        <f t="shared" si="4"/>
        <v>0</v>
      </c>
    </row>
    <row r="250" spans="7:13" x14ac:dyDescent="0.3">
      <c r="G250" s="35">
        <v>45809</v>
      </c>
      <c r="H250" s="37">
        <v>55105</v>
      </c>
      <c r="M250">
        <f t="shared" si="4"/>
        <v>0</v>
      </c>
    </row>
    <row r="251" spans="7:13" x14ac:dyDescent="0.3">
      <c r="M251">
        <f t="shared" si="4"/>
        <v>0</v>
      </c>
    </row>
    <row r="252" spans="7:13" x14ac:dyDescent="0.3">
      <c r="M252">
        <f t="shared" si="4"/>
        <v>0</v>
      </c>
    </row>
    <row r="253" spans="7:13" x14ac:dyDescent="0.3">
      <c r="M253">
        <f t="shared" si="4"/>
        <v>0</v>
      </c>
    </row>
    <row r="254" spans="7:13" x14ac:dyDescent="0.3">
      <c r="M254">
        <f t="shared" si="4"/>
        <v>0</v>
      </c>
    </row>
    <row r="255" spans="7:13" x14ac:dyDescent="0.3">
      <c r="M255">
        <f t="shared" si="4"/>
        <v>0</v>
      </c>
    </row>
    <row r="256" spans="7:13" x14ac:dyDescent="0.3">
      <c r="M256">
        <f t="shared" si="4"/>
        <v>0</v>
      </c>
    </row>
    <row r="257" spans="13:13" x14ac:dyDescent="0.3">
      <c r="M257">
        <f t="shared" si="4"/>
        <v>0</v>
      </c>
    </row>
    <row r="258" spans="13:13" x14ac:dyDescent="0.3">
      <c r="M258">
        <f t="shared" si="4"/>
        <v>0</v>
      </c>
    </row>
    <row r="259" spans="13:13" x14ac:dyDescent="0.3">
      <c r="M259">
        <f t="shared" si="4"/>
        <v>0</v>
      </c>
    </row>
    <row r="260" spans="13:13" x14ac:dyDescent="0.3">
      <c r="M260">
        <f t="shared" si="4"/>
        <v>0</v>
      </c>
    </row>
    <row r="261" spans="13:13" x14ac:dyDescent="0.3">
      <c r="M261">
        <f t="shared" si="4"/>
        <v>0</v>
      </c>
    </row>
    <row r="262" spans="13:13" x14ac:dyDescent="0.3">
      <c r="M262">
        <f t="shared" si="4"/>
        <v>0</v>
      </c>
    </row>
    <row r="263" spans="13:13" x14ac:dyDescent="0.3">
      <c r="M263">
        <f t="shared" si="4"/>
        <v>0</v>
      </c>
    </row>
    <row r="264" spans="13:13" x14ac:dyDescent="0.3">
      <c r="M264">
        <f t="shared" si="4"/>
        <v>0</v>
      </c>
    </row>
    <row r="265" spans="13:13" x14ac:dyDescent="0.3">
      <c r="M265">
        <f t="shared" si="4"/>
        <v>0</v>
      </c>
    </row>
    <row r="266" spans="13:13" x14ac:dyDescent="0.3">
      <c r="M266">
        <f t="shared" si="4"/>
        <v>0</v>
      </c>
    </row>
    <row r="267" spans="13:13" x14ac:dyDescent="0.3">
      <c r="M267">
        <f t="shared" si="4"/>
        <v>0</v>
      </c>
    </row>
    <row r="268" spans="13:13" x14ac:dyDescent="0.3">
      <c r="M268">
        <f t="shared" si="4"/>
        <v>0</v>
      </c>
    </row>
    <row r="269" spans="13:13" x14ac:dyDescent="0.3">
      <c r="M269">
        <f t="shared" si="4"/>
        <v>0</v>
      </c>
    </row>
    <row r="270" spans="13:13" x14ac:dyDescent="0.3">
      <c r="M270">
        <f t="shared" si="4"/>
        <v>0</v>
      </c>
    </row>
    <row r="271" spans="13:13" x14ac:dyDescent="0.3">
      <c r="M271">
        <f t="shared" si="4"/>
        <v>0</v>
      </c>
    </row>
    <row r="272" spans="13:13" x14ac:dyDescent="0.3">
      <c r="M272">
        <f t="shared" si="4"/>
        <v>0</v>
      </c>
    </row>
    <row r="273" spans="13:13" x14ac:dyDescent="0.3">
      <c r="M273">
        <f t="shared" si="4"/>
        <v>0</v>
      </c>
    </row>
    <row r="274" spans="13:13" x14ac:dyDescent="0.3">
      <c r="M274">
        <f t="shared" si="4"/>
        <v>0</v>
      </c>
    </row>
    <row r="275" spans="13:13" x14ac:dyDescent="0.3">
      <c r="M275">
        <f t="shared" si="4"/>
        <v>0</v>
      </c>
    </row>
    <row r="276" spans="13:13" x14ac:dyDescent="0.3">
      <c r="M276">
        <f t="shared" si="4"/>
        <v>0</v>
      </c>
    </row>
    <row r="277" spans="13:13" x14ac:dyDescent="0.3">
      <c r="M277">
        <f t="shared" ref="M277:M340" si="5">+(L277/$J$19)*100</f>
        <v>0</v>
      </c>
    </row>
    <row r="278" spans="13:13" x14ac:dyDescent="0.3">
      <c r="M278">
        <f t="shared" si="5"/>
        <v>0</v>
      </c>
    </row>
    <row r="279" spans="13:13" x14ac:dyDescent="0.3">
      <c r="M279">
        <f t="shared" si="5"/>
        <v>0</v>
      </c>
    </row>
    <row r="280" spans="13:13" x14ac:dyDescent="0.3">
      <c r="M280">
        <f t="shared" si="5"/>
        <v>0</v>
      </c>
    </row>
    <row r="281" spans="13:13" x14ac:dyDescent="0.3">
      <c r="M281">
        <f t="shared" si="5"/>
        <v>0</v>
      </c>
    </row>
    <row r="282" spans="13:13" x14ac:dyDescent="0.3">
      <c r="M282">
        <f t="shared" si="5"/>
        <v>0</v>
      </c>
    </row>
    <row r="283" spans="13:13" x14ac:dyDescent="0.3">
      <c r="M283">
        <f t="shared" si="5"/>
        <v>0</v>
      </c>
    </row>
    <row r="284" spans="13:13" x14ac:dyDescent="0.3">
      <c r="M284">
        <f t="shared" si="5"/>
        <v>0</v>
      </c>
    </row>
    <row r="285" spans="13:13" x14ac:dyDescent="0.3">
      <c r="M285">
        <f t="shared" si="5"/>
        <v>0</v>
      </c>
    </row>
    <row r="286" spans="13:13" x14ac:dyDescent="0.3">
      <c r="M286">
        <f t="shared" si="5"/>
        <v>0</v>
      </c>
    </row>
    <row r="287" spans="13:13" x14ac:dyDescent="0.3">
      <c r="M287">
        <f t="shared" si="5"/>
        <v>0</v>
      </c>
    </row>
    <row r="288" spans="13:13" x14ac:dyDescent="0.3">
      <c r="M288">
        <f t="shared" si="5"/>
        <v>0</v>
      </c>
    </row>
    <row r="289" spans="13:13" x14ac:dyDescent="0.3">
      <c r="M289">
        <f t="shared" si="5"/>
        <v>0</v>
      </c>
    </row>
    <row r="290" spans="13:13" x14ac:dyDescent="0.3">
      <c r="M290">
        <f t="shared" si="5"/>
        <v>0</v>
      </c>
    </row>
    <row r="291" spans="13:13" x14ac:dyDescent="0.3">
      <c r="M291">
        <f t="shared" si="5"/>
        <v>0</v>
      </c>
    </row>
    <row r="292" spans="13:13" x14ac:dyDescent="0.3">
      <c r="M292">
        <f t="shared" si="5"/>
        <v>0</v>
      </c>
    </row>
    <row r="293" spans="13:13" x14ac:dyDescent="0.3">
      <c r="M293">
        <f t="shared" si="5"/>
        <v>0</v>
      </c>
    </row>
    <row r="294" spans="13:13" x14ac:dyDescent="0.3">
      <c r="M294">
        <f t="shared" si="5"/>
        <v>0</v>
      </c>
    </row>
    <row r="295" spans="13:13" x14ac:dyDescent="0.3">
      <c r="M295">
        <f t="shared" si="5"/>
        <v>0</v>
      </c>
    </row>
    <row r="296" spans="13:13" x14ac:dyDescent="0.3">
      <c r="M296">
        <f t="shared" si="5"/>
        <v>0</v>
      </c>
    </row>
    <row r="297" spans="13:13" x14ac:dyDescent="0.3">
      <c r="M297">
        <f t="shared" si="5"/>
        <v>0</v>
      </c>
    </row>
    <row r="298" spans="13:13" x14ac:dyDescent="0.3">
      <c r="M298">
        <f t="shared" si="5"/>
        <v>0</v>
      </c>
    </row>
    <row r="299" spans="13:13" x14ac:dyDescent="0.3">
      <c r="M299">
        <f t="shared" si="5"/>
        <v>0</v>
      </c>
    </row>
    <row r="300" spans="13:13" x14ac:dyDescent="0.3">
      <c r="M300">
        <f t="shared" si="5"/>
        <v>0</v>
      </c>
    </row>
    <row r="301" spans="13:13" x14ac:dyDescent="0.3">
      <c r="M301">
        <f t="shared" si="5"/>
        <v>0</v>
      </c>
    </row>
    <row r="302" spans="13:13" x14ac:dyDescent="0.3">
      <c r="M302">
        <f t="shared" si="5"/>
        <v>0</v>
      </c>
    </row>
    <row r="303" spans="13:13" x14ac:dyDescent="0.3">
      <c r="M303">
        <f t="shared" si="5"/>
        <v>0</v>
      </c>
    </row>
    <row r="304" spans="13:13" x14ac:dyDescent="0.3">
      <c r="M304">
        <f t="shared" si="5"/>
        <v>0</v>
      </c>
    </row>
    <row r="305" spans="13:13" x14ac:dyDescent="0.3">
      <c r="M305">
        <f t="shared" si="5"/>
        <v>0</v>
      </c>
    </row>
    <row r="306" spans="13:13" x14ac:dyDescent="0.3">
      <c r="M306">
        <f t="shared" si="5"/>
        <v>0</v>
      </c>
    </row>
    <row r="307" spans="13:13" x14ac:dyDescent="0.3">
      <c r="M307">
        <f t="shared" si="5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D284-4F33-446C-9AE2-144B45795AA8}">
  <dimension ref="A1:R217"/>
  <sheetViews>
    <sheetView zoomScale="81" workbookViewId="0">
      <selection activeCell="J7" sqref="J7"/>
    </sheetView>
  </sheetViews>
  <sheetFormatPr baseColWidth="10" defaultColWidth="11.44140625" defaultRowHeight="14.4" x14ac:dyDescent="0.3"/>
  <cols>
    <col min="1" max="1" width="11.109375" bestFit="1" customWidth="1"/>
    <col min="2" max="2" width="25.44140625" bestFit="1" customWidth="1"/>
    <col min="3" max="3" width="35.88671875" bestFit="1" customWidth="1"/>
    <col min="4" max="4" width="19.6640625" bestFit="1" customWidth="1"/>
    <col min="5" max="5" width="20.44140625" bestFit="1" customWidth="1"/>
    <col min="6" max="6" width="21.33203125" bestFit="1" customWidth="1"/>
    <col min="7" max="7" width="22.109375" bestFit="1" customWidth="1"/>
  </cols>
  <sheetData>
    <row r="1" spans="1:18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8" x14ac:dyDescent="0.3">
      <c r="A2" s="1">
        <v>39903</v>
      </c>
      <c r="B2" s="2">
        <v>5608.4000000000005</v>
      </c>
      <c r="D2" s="33">
        <v>1176.932</v>
      </c>
      <c r="E2" s="2">
        <v>1016.1033333333334</v>
      </c>
      <c r="F2" s="2">
        <v>488.10599999999999</v>
      </c>
      <c r="G2" s="2">
        <v>824.98699999999997</v>
      </c>
      <c r="H2" s="2"/>
    </row>
    <row r="3" spans="1:18" x14ac:dyDescent="0.3">
      <c r="A3" s="1">
        <v>39994</v>
      </c>
      <c r="B3" s="2">
        <v>5572.666666666667</v>
      </c>
      <c r="D3" s="33">
        <v>1159.49</v>
      </c>
      <c r="E3" s="2">
        <v>999.822</v>
      </c>
      <c r="F3" s="2">
        <v>484.93033333333329</v>
      </c>
      <c r="G3" s="2">
        <v>796.30133333333322</v>
      </c>
      <c r="H3" s="2"/>
    </row>
    <row r="4" spans="1:18" x14ac:dyDescent="0.3">
      <c r="A4" s="1">
        <v>40086</v>
      </c>
      <c r="B4" s="2">
        <v>5580.2333333333336</v>
      </c>
      <c r="D4" s="33">
        <v>1161.711667</v>
      </c>
      <c r="E4" s="2">
        <v>1000.0859999999999</v>
      </c>
      <c r="F4" s="2">
        <v>483.77133333333336</v>
      </c>
      <c r="G4" s="2">
        <v>795.25633333333337</v>
      </c>
      <c r="H4" s="2"/>
    </row>
    <row r="5" spans="1:18" x14ac:dyDescent="0.3">
      <c r="A5" s="1">
        <v>40178</v>
      </c>
      <c r="B5" s="2">
        <v>5603.5999999999995</v>
      </c>
      <c r="D5" s="33">
        <v>1167.141333</v>
      </c>
      <c r="E5" s="2">
        <v>1016.8633333333333</v>
      </c>
      <c r="F5" s="2">
        <v>486.92</v>
      </c>
      <c r="G5" s="2">
        <v>807.95299999999997</v>
      </c>
      <c r="H5" s="2"/>
    </row>
    <row r="6" spans="1:18" x14ac:dyDescent="0.3">
      <c r="A6" s="1">
        <v>40268</v>
      </c>
      <c r="B6" s="2">
        <v>5638</v>
      </c>
      <c r="D6" s="33">
        <v>1173.701667</v>
      </c>
      <c r="E6" s="2">
        <v>1031.7479999999998</v>
      </c>
      <c r="F6" s="2">
        <v>490.96466666666669</v>
      </c>
      <c r="G6" s="2">
        <v>829.93833333333339</v>
      </c>
      <c r="H6" s="2"/>
    </row>
    <row r="7" spans="1:18" x14ac:dyDescent="0.3">
      <c r="A7" s="1">
        <v>40359</v>
      </c>
      <c r="B7" s="2">
        <v>5692.4333333333334</v>
      </c>
      <c r="D7" s="33">
        <v>1185.76</v>
      </c>
      <c r="E7" s="2">
        <v>1027.7840000000001</v>
      </c>
      <c r="F7" s="2">
        <v>493.43666666666667</v>
      </c>
      <c r="G7" s="2">
        <v>818.67300000000012</v>
      </c>
      <c r="H7" s="2"/>
    </row>
    <row r="8" spans="1:18" x14ac:dyDescent="0.3">
      <c r="A8" s="1">
        <v>40451</v>
      </c>
      <c r="B8" s="2">
        <v>5746.9333333333334</v>
      </c>
      <c r="D8" s="33">
        <v>1195.116667</v>
      </c>
      <c r="E8" s="2">
        <v>1037.8589999999999</v>
      </c>
      <c r="F8" s="2">
        <v>497.7063333333333</v>
      </c>
      <c r="G8" s="2">
        <v>821.60399999999993</v>
      </c>
      <c r="H8" s="2"/>
    </row>
    <row r="9" spans="1:18" x14ac:dyDescent="0.3">
      <c r="A9" s="1">
        <v>40543</v>
      </c>
      <c r="B9" s="2">
        <v>5809.4333333333334</v>
      </c>
      <c r="D9" s="33">
        <v>1202.4739999999999</v>
      </c>
      <c r="E9" s="2">
        <v>1060.8176666666666</v>
      </c>
      <c r="F9" s="2">
        <v>503.53833333333336</v>
      </c>
      <c r="G9" s="2">
        <v>844.75266666666664</v>
      </c>
      <c r="H9" s="2"/>
    </row>
    <row r="10" spans="1:18" x14ac:dyDescent="0.3">
      <c r="A10" s="1">
        <v>40633</v>
      </c>
      <c r="B10" s="2">
        <v>5889.7000000000007</v>
      </c>
      <c r="D10" s="33">
        <v>1218.155667</v>
      </c>
      <c r="E10" s="2">
        <v>1080.2083333333333</v>
      </c>
      <c r="F10" s="2">
        <v>511.55199999999996</v>
      </c>
      <c r="G10" s="2">
        <v>864.80400000000009</v>
      </c>
      <c r="H10" s="2"/>
    </row>
    <row r="11" spans="1:18" x14ac:dyDescent="0.3">
      <c r="A11" s="1">
        <v>40724</v>
      </c>
      <c r="B11" s="2">
        <v>5966.1333333333341</v>
      </c>
      <c r="D11" s="33">
        <v>1233.8806669999999</v>
      </c>
      <c r="E11" s="2">
        <v>1075.0816666666667</v>
      </c>
      <c r="F11" s="2">
        <v>515.79833333333329</v>
      </c>
      <c r="G11" s="2">
        <v>854.07133333333331</v>
      </c>
      <c r="H11" s="2"/>
    </row>
    <row r="12" spans="1:18" x14ac:dyDescent="0.3">
      <c r="A12" s="1">
        <v>40816</v>
      </c>
      <c r="B12" s="2">
        <v>6021.6333333333341</v>
      </c>
      <c r="D12" s="33">
        <v>1245.6263329999999</v>
      </c>
      <c r="E12" s="2">
        <v>1085.1369999999999</v>
      </c>
      <c r="F12" s="2">
        <v>521.47699999999998</v>
      </c>
      <c r="G12" s="2">
        <v>858.13766666666663</v>
      </c>
      <c r="H12" s="2"/>
    </row>
    <row r="13" spans="1:18" x14ac:dyDescent="0.3">
      <c r="A13" s="1">
        <v>40908</v>
      </c>
      <c r="B13" s="2">
        <v>6067.166666666667</v>
      </c>
      <c r="D13" s="33">
        <v>1254.6876669999999</v>
      </c>
      <c r="E13" s="2">
        <v>1105.2503333333334</v>
      </c>
      <c r="F13" s="2">
        <v>527.71733333333339</v>
      </c>
      <c r="G13" s="2">
        <v>872.59633333333329</v>
      </c>
      <c r="H13" s="2"/>
    </row>
    <row r="14" spans="1:18" ht="18" x14ac:dyDescent="0.35">
      <c r="A14" s="1">
        <v>40999</v>
      </c>
      <c r="B14" s="2">
        <v>6067.6333333333341</v>
      </c>
      <c r="C14" s="2">
        <v>2594.3283329999999</v>
      </c>
      <c r="D14" s="33">
        <v>1254.579</v>
      </c>
      <c r="E14" s="2">
        <v>1115.306</v>
      </c>
      <c r="F14" s="2">
        <v>531.8746666666666</v>
      </c>
      <c r="G14" s="2">
        <v>881.5003333333334</v>
      </c>
      <c r="H14" s="2">
        <f>+Puesto_desest_trim[[#This Row],[Puestos_sector_privado ]]+Puesto_desest_trim[[#This Row],[Puestos_sector_publico TRIMESTRAL]]</f>
        <v>8661.9616663333345</v>
      </c>
      <c r="J14" s="24">
        <v>2549.9059999999999</v>
      </c>
      <c r="K14" s="28">
        <f ca="1">IF(MOD(ROW()-14,3)=0,AVERAGE(INDIRECT("J"&amp;ROW()&amp;":J"&amp;(ROW()+2))),"")</f>
        <v>2594.3283333333334</v>
      </c>
      <c r="M14">
        <v>2594.3283329999999</v>
      </c>
      <c r="N14" s="28"/>
      <c r="O14" s="30">
        <v>1182.914</v>
      </c>
      <c r="Q14">
        <f ca="1">IF(MOD(ROW()-14,3)=0,AVERAGE(INDIRECT("O"&amp;ROW()&amp;":O"&amp;(ROW()+2))),"")</f>
        <v>1176.932</v>
      </c>
      <c r="R14">
        <v>1176.932</v>
      </c>
    </row>
    <row r="15" spans="1:18" ht="18" x14ac:dyDescent="0.35">
      <c r="A15" s="1">
        <v>41090</v>
      </c>
      <c r="B15" s="2">
        <v>6062.1333333333341</v>
      </c>
      <c r="C15" s="2">
        <v>2618.5813330000001</v>
      </c>
      <c r="D15" s="33">
        <v>1252.8606669999999</v>
      </c>
      <c r="E15" s="2">
        <v>1100.4750000000001</v>
      </c>
      <c r="F15" s="2">
        <v>531.28633333333335</v>
      </c>
      <c r="G15" s="2">
        <v>855.0243333333334</v>
      </c>
      <c r="H15" s="2">
        <f>+Puesto_desest_trim[[#This Row],[Puestos_sector_privado ]]+Puesto_desest_trim[[#This Row],[Puestos_sector_publico TRIMESTRAL]]</f>
        <v>8680.7146663333333</v>
      </c>
      <c r="J15" s="25">
        <v>2610.5439999999999</v>
      </c>
      <c r="K15" s="28" t="str">
        <f ca="1">IF(MOD(ROW()-14,3)=0,AVERAGE(INDIRECT("J"&amp;ROW()&amp;":J"&amp;(ROW()+2))),"")</f>
        <v/>
      </c>
      <c r="M15">
        <v>2618.5813330000001</v>
      </c>
      <c r="N15" s="28"/>
      <c r="O15" s="30">
        <v>1178.6400000000001</v>
      </c>
      <c r="Q15" t="str">
        <f t="shared" ref="Q15:Q78" ca="1" si="0">IF(MOD(ROW()-14,3)=0,AVERAGE(INDIRECT("O"&amp;ROW()&amp;":O"&amp;(ROW()+2))),"")</f>
        <v/>
      </c>
      <c r="R15">
        <v>1159.49</v>
      </c>
    </row>
    <row r="16" spans="1:18" ht="18" x14ac:dyDescent="0.35">
      <c r="A16" s="1">
        <v>41182</v>
      </c>
      <c r="B16" s="2">
        <v>6060.5</v>
      </c>
      <c r="C16" s="2">
        <v>2632.701</v>
      </c>
      <c r="D16" s="33">
        <v>1254.404</v>
      </c>
      <c r="E16" s="2">
        <v>1099.7246666666667</v>
      </c>
      <c r="F16" s="2">
        <v>532.77266666666662</v>
      </c>
      <c r="G16" s="2">
        <v>845.75166666666667</v>
      </c>
      <c r="H16" s="2">
        <f>+Puesto_desest_trim[[#This Row],[Puestos_sector_privado ]]+Puesto_desest_trim[[#This Row],[Puestos_sector_publico TRIMESTRAL]]</f>
        <v>8693.2010000000009</v>
      </c>
      <c r="J16" s="25">
        <v>2622.5349999999999</v>
      </c>
      <c r="K16" s="28" t="str">
        <f t="shared" ref="K16:K79" ca="1" si="1">IF(MOD(ROW()-14,3)=0,AVERAGE(INDIRECT("J"&amp;ROW()&amp;":J"&amp;(ROW()+2))),"")</f>
        <v/>
      </c>
      <c r="M16">
        <v>2632.701</v>
      </c>
      <c r="N16" s="28"/>
      <c r="O16" s="30">
        <v>1169.242</v>
      </c>
      <c r="Q16" t="str">
        <f t="shared" ca="1" si="0"/>
        <v/>
      </c>
      <c r="R16">
        <v>1161.711667</v>
      </c>
    </row>
    <row r="17" spans="1:18" ht="18" x14ac:dyDescent="0.35">
      <c r="A17" s="1">
        <v>41274</v>
      </c>
      <c r="B17" s="2">
        <v>6074.4000000000005</v>
      </c>
      <c r="C17" s="2">
        <v>2651.5940000000001</v>
      </c>
      <c r="D17" s="33">
        <v>1258.7603329999999</v>
      </c>
      <c r="E17" s="2">
        <v>1115.4003333333333</v>
      </c>
      <c r="F17" s="2">
        <v>535.92933333333337</v>
      </c>
      <c r="G17" s="2">
        <v>853.5236666666666</v>
      </c>
      <c r="H17" s="2">
        <f>+Puesto_desest_trim[[#This Row],[Puestos_sector_privado ]]+Puesto_desest_trim[[#This Row],[Puestos_sector_publico TRIMESTRAL]]</f>
        <v>8725.9940000000006</v>
      </c>
      <c r="J17" s="25">
        <v>2625.4189999999999</v>
      </c>
      <c r="K17" s="28">
        <f t="shared" ca="1" si="1"/>
        <v>2618.5813333333331</v>
      </c>
      <c r="M17">
        <v>2651.5940000000001</v>
      </c>
      <c r="N17" s="28"/>
      <c r="O17" s="30">
        <v>1160.519</v>
      </c>
      <c r="Q17">
        <f t="shared" ca="1" si="0"/>
        <v>1159.49</v>
      </c>
      <c r="R17">
        <v>1167.141333</v>
      </c>
    </row>
    <row r="18" spans="1:18" ht="18" x14ac:dyDescent="0.35">
      <c r="A18" s="1">
        <v>41364</v>
      </c>
      <c r="B18" s="2">
        <v>6098</v>
      </c>
      <c r="C18" s="2">
        <v>2720.0320000000002</v>
      </c>
      <c r="D18" s="33">
        <v>1263.944</v>
      </c>
      <c r="E18" s="2">
        <v>1127.386</v>
      </c>
      <c r="F18" s="2">
        <v>538.30200000000002</v>
      </c>
      <c r="G18" s="2">
        <v>862.47866666666675</v>
      </c>
      <c r="H18" s="2">
        <f>+Puesto_desest_trim[[#This Row],[Puestos_sector_privado ]]+Puesto_desest_trim[[#This Row],[Puestos_sector_publico TRIMESTRAL]]</f>
        <v>8818.0319999999992</v>
      </c>
      <c r="J18" s="25">
        <v>2597.884</v>
      </c>
      <c r="K18" s="28" t="str">
        <f t="shared" ca="1" si="1"/>
        <v/>
      </c>
      <c r="M18">
        <v>2720.0320000000002</v>
      </c>
      <c r="N18" s="28"/>
      <c r="O18" s="30">
        <v>1157.5450000000001</v>
      </c>
      <c r="Q18" t="str">
        <f t="shared" ca="1" si="0"/>
        <v/>
      </c>
      <c r="R18">
        <v>1173.701667</v>
      </c>
    </row>
    <row r="19" spans="1:18" ht="18" x14ac:dyDescent="0.35">
      <c r="A19" s="1">
        <v>41455</v>
      </c>
      <c r="B19" s="2">
        <v>6109.333333333333</v>
      </c>
      <c r="C19" s="2">
        <v>2785.094333</v>
      </c>
      <c r="D19" s="33">
        <v>1265.098</v>
      </c>
      <c r="E19" s="2">
        <v>1111.7416666666668</v>
      </c>
      <c r="F19" s="2">
        <v>538.46600000000001</v>
      </c>
      <c r="G19" s="2">
        <v>842.99733333333336</v>
      </c>
      <c r="H19" s="2">
        <f>+Puesto_desest_trim[[#This Row],[Puestos_sector_privado ]]+Puesto_desest_trim[[#This Row],[Puestos_sector_publico TRIMESTRAL]]</f>
        <v>8894.427666333333</v>
      </c>
      <c r="J19" s="25">
        <v>2632.4409999999998</v>
      </c>
      <c r="K19" s="28" t="str">
        <f t="shared" ca="1" si="1"/>
        <v/>
      </c>
      <c r="M19">
        <v>2785.094333</v>
      </c>
      <c r="N19" s="28"/>
      <c r="O19" s="30">
        <v>1160.4059999999999</v>
      </c>
      <c r="Q19" t="str">
        <f t="shared" ca="1" si="0"/>
        <v/>
      </c>
      <c r="R19">
        <v>1185.76</v>
      </c>
    </row>
    <row r="20" spans="1:18" ht="18" x14ac:dyDescent="0.35">
      <c r="A20" s="1">
        <v>41547</v>
      </c>
      <c r="B20" s="2">
        <v>6116.8</v>
      </c>
      <c r="C20" s="2">
        <v>2814.654</v>
      </c>
      <c r="D20" s="33">
        <v>1265.3720000000001</v>
      </c>
      <c r="E20" s="2">
        <v>1113.4733333333334</v>
      </c>
      <c r="F20" s="2">
        <v>541.91100000000006</v>
      </c>
      <c r="G20" s="2">
        <v>838.06</v>
      </c>
      <c r="H20" s="2">
        <f>+Puesto_desest_trim[[#This Row],[Puestos_sector_privado ]]+Puesto_desest_trim[[#This Row],[Puestos_sector_publico TRIMESTRAL]]</f>
        <v>8931.4539999999997</v>
      </c>
      <c r="J20" s="25">
        <v>2628.8209999999999</v>
      </c>
      <c r="K20" s="28">
        <f t="shared" ca="1" si="1"/>
        <v>2632.7009999999996</v>
      </c>
      <c r="M20">
        <v>2814.654</v>
      </c>
      <c r="N20" s="28"/>
      <c r="O20" s="30">
        <v>1159.7719999999999</v>
      </c>
      <c r="Q20">
        <f t="shared" ca="1" si="0"/>
        <v>1161.7116666666668</v>
      </c>
      <c r="R20">
        <v>1195.116667</v>
      </c>
    </row>
    <row r="21" spans="1:18" ht="18" x14ac:dyDescent="0.35">
      <c r="A21" s="1">
        <v>41639</v>
      </c>
      <c r="B21" s="2">
        <v>6122.0999999999995</v>
      </c>
      <c r="C21" s="2">
        <v>2842.741</v>
      </c>
      <c r="D21" s="33">
        <v>1265.394333</v>
      </c>
      <c r="E21" s="2">
        <v>1126.8263333333334</v>
      </c>
      <c r="F21" s="2">
        <v>545.3363333333333</v>
      </c>
      <c r="G21" s="2">
        <v>846.55966666666666</v>
      </c>
      <c r="H21" s="2">
        <f>+Puesto_desest_trim[[#This Row],[Puestos_sector_privado ]]+Puesto_desest_trim[[#This Row],[Puestos_sector_publico TRIMESTRAL]]</f>
        <v>8964.8410000000003</v>
      </c>
      <c r="J21" s="25">
        <v>2636.8789999999999</v>
      </c>
      <c r="K21" s="28" t="str">
        <f t="shared" ca="1" si="1"/>
        <v/>
      </c>
      <c r="M21">
        <v>2842.741</v>
      </c>
      <c r="N21" s="28"/>
      <c r="O21" s="30">
        <v>1161.443</v>
      </c>
      <c r="Q21" t="str">
        <f t="shared" ca="1" si="0"/>
        <v/>
      </c>
      <c r="R21">
        <v>1202.4739999999999</v>
      </c>
    </row>
    <row r="22" spans="1:18" ht="18" x14ac:dyDescent="0.35">
      <c r="A22" s="1">
        <v>41729</v>
      </c>
      <c r="B22" s="2">
        <v>6105.166666666667</v>
      </c>
      <c r="C22" s="2">
        <v>2845.1109999999999</v>
      </c>
      <c r="D22" s="33">
        <v>1257.2070000000001</v>
      </c>
      <c r="E22" s="2">
        <v>1135.1199999999999</v>
      </c>
      <c r="F22" s="2">
        <v>545.53600000000006</v>
      </c>
      <c r="G22" s="2">
        <v>846.32966666666653</v>
      </c>
      <c r="H22" s="2">
        <f>+Puesto_desest_trim[[#This Row],[Puestos_sector_privado ]]+Puesto_desest_trim[[#This Row],[Puestos_sector_publico TRIMESTRAL]]</f>
        <v>8950.2776666666668</v>
      </c>
      <c r="J22" s="25">
        <v>2632.4029999999998</v>
      </c>
      <c r="K22" s="28" t="str">
        <f t="shared" ca="1" si="1"/>
        <v/>
      </c>
      <c r="M22">
        <v>2845.1109999999999</v>
      </c>
      <c r="N22" s="28"/>
      <c r="O22" s="30">
        <v>1163.92</v>
      </c>
      <c r="Q22" t="str">
        <f t="shared" ca="1" si="0"/>
        <v/>
      </c>
      <c r="R22">
        <v>1218.155667</v>
      </c>
    </row>
    <row r="23" spans="1:18" ht="18" x14ac:dyDescent="0.35">
      <c r="A23" s="1">
        <v>41820</v>
      </c>
      <c r="B23" s="2">
        <v>6103.2333333333336</v>
      </c>
      <c r="C23" s="2">
        <v>2883.8693330000001</v>
      </c>
      <c r="D23" s="33">
        <v>1250.819</v>
      </c>
      <c r="E23" s="2">
        <v>1116.2216666666666</v>
      </c>
      <c r="F23" s="2">
        <v>544.30466666666666</v>
      </c>
      <c r="G23" s="2">
        <v>825.83166666666659</v>
      </c>
      <c r="H23" s="2">
        <f>+Puesto_desest_trim[[#This Row],[Puestos_sector_privado ]]+Puesto_desest_trim[[#This Row],[Puestos_sector_publico TRIMESTRAL]]</f>
        <v>8987.1026663333341</v>
      </c>
      <c r="J23" s="25">
        <v>2640.5740000000001</v>
      </c>
      <c r="K23" s="28">
        <f t="shared" ca="1" si="1"/>
        <v>2651.5940000000001</v>
      </c>
      <c r="M23">
        <v>2883.8693330000001</v>
      </c>
      <c r="N23" s="28"/>
      <c r="O23" s="30">
        <v>1167.597</v>
      </c>
      <c r="Q23">
        <f t="shared" ca="1" si="0"/>
        <v>1167.1413333333335</v>
      </c>
      <c r="R23">
        <v>1233.8806669999999</v>
      </c>
    </row>
    <row r="24" spans="1:18" ht="18" x14ac:dyDescent="0.35">
      <c r="A24" s="1">
        <v>41912</v>
      </c>
      <c r="B24" s="2">
        <v>6114.166666666667</v>
      </c>
      <c r="C24" s="2">
        <v>2911.6023329999998</v>
      </c>
      <c r="D24" s="33">
        <v>1245.9866669999999</v>
      </c>
      <c r="E24" s="2">
        <v>1116.7573333333332</v>
      </c>
      <c r="F24" s="2">
        <v>545.8513333333334</v>
      </c>
      <c r="G24" s="2">
        <v>817.78666666666675</v>
      </c>
      <c r="H24" s="2">
        <f>+Puesto_desest_trim[[#This Row],[Puestos_sector_privado ]]+Puesto_desest_trim[[#This Row],[Puestos_sector_publico TRIMESTRAL]]</f>
        <v>9025.7689996666668</v>
      </c>
      <c r="J24" s="25">
        <v>2655.837</v>
      </c>
      <c r="K24" s="28" t="str">
        <f t="shared" ca="1" si="1"/>
        <v/>
      </c>
      <c r="M24">
        <v>2911.6023329999998</v>
      </c>
      <c r="N24" s="28"/>
      <c r="O24" s="30">
        <v>1166.8510000000001</v>
      </c>
      <c r="Q24" t="str">
        <f t="shared" ca="1" si="0"/>
        <v/>
      </c>
      <c r="R24">
        <v>1245.6263329999999</v>
      </c>
    </row>
    <row r="25" spans="1:18" ht="18" x14ac:dyDescent="0.35">
      <c r="A25" s="1">
        <v>42004</v>
      </c>
      <c r="B25" s="2">
        <v>6135.333333333333</v>
      </c>
      <c r="C25" s="2">
        <v>2938.1509999999998</v>
      </c>
      <c r="D25" s="33">
        <v>1243.291667</v>
      </c>
      <c r="E25" s="2">
        <v>1126.3579999999999</v>
      </c>
      <c r="F25" s="2">
        <v>548.34933333333322</v>
      </c>
      <c r="G25" s="2">
        <v>831.65</v>
      </c>
      <c r="H25" s="2">
        <f>+Puesto_desest_trim[[#This Row],[Puestos_sector_privado ]]+Puesto_desest_trim[[#This Row],[Puestos_sector_publico TRIMESTRAL]]</f>
        <v>9073.4843333333338</v>
      </c>
      <c r="J25" s="25">
        <v>2658.3710000000001</v>
      </c>
      <c r="K25" s="28" t="str">
        <f t="shared" ca="1" si="1"/>
        <v/>
      </c>
      <c r="M25">
        <v>2938.1509999999998</v>
      </c>
      <c r="N25" s="28"/>
      <c r="O25" s="30">
        <v>1166.9760000000001</v>
      </c>
      <c r="Q25" t="str">
        <f t="shared" ca="1" si="0"/>
        <v/>
      </c>
      <c r="R25">
        <v>1254.6876669999999</v>
      </c>
    </row>
    <row r="26" spans="1:18" ht="18" x14ac:dyDescent="0.35">
      <c r="A26" s="1">
        <v>42094</v>
      </c>
      <c r="B26" s="2">
        <v>6176.4000000000005</v>
      </c>
      <c r="C26" s="2">
        <v>2965.9929999999999</v>
      </c>
      <c r="D26" s="33">
        <v>1245.439333</v>
      </c>
      <c r="E26" s="2">
        <v>1139.5763333333334</v>
      </c>
      <c r="F26" s="2">
        <v>551.69166666666672</v>
      </c>
      <c r="G26" s="2">
        <v>848.87866666666662</v>
      </c>
      <c r="H26" s="2">
        <f>+Puesto_desest_trim[[#This Row],[Puestos_sector_privado ]]+Puesto_desest_trim[[#This Row],[Puestos_sector_publico TRIMESTRAL]]</f>
        <v>9142.393</v>
      </c>
      <c r="J26" s="25">
        <v>2714.2370000000001</v>
      </c>
      <c r="K26" s="28">
        <f t="shared" ca="1" si="1"/>
        <v>2720.0320000000006</v>
      </c>
      <c r="M26">
        <v>2965.9929999999999</v>
      </c>
      <c r="N26" s="28"/>
      <c r="O26" s="30">
        <v>1168.403</v>
      </c>
      <c r="Q26">
        <f t="shared" ca="1" si="0"/>
        <v>1173.7016666666666</v>
      </c>
      <c r="R26">
        <v>1254.579</v>
      </c>
    </row>
    <row r="27" spans="1:18" ht="18" x14ac:dyDescent="0.35">
      <c r="A27" s="1">
        <v>42185</v>
      </c>
      <c r="B27" s="2">
        <v>6233.5333333333328</v>
      </c>
      <c r="C27" s="2">
        <v>3002.4859999999999</v>
      </c>
      <c r="D27" s="33">
        <v>1254.0493329999999</v>
      </c>
      <c r="E27" s="2">
        <v>1133.579</v>
      </c>
      <c r="F27" s="2">
        <v>553.67433333333327</v>
      </c>
      <c r="G27" s="2">
        <v>837.91133333333335</v>
      </c>
      <c r="H27" s="2">
        <f>+Puesto_desest_trim[[#This Row],[Puestos_sector_privado ]]+Puesto_desest_trim[[#This Row],[Puestos_sector_publico TRIMESTRAL]]</f>
        <v>9236.0193333333336</v>
      </c>
      <c r="J27" s="25">
        <v>2720.82</v>
      </c>
      <c r="K27" s="28" t="str">
        <f t="shared" ca="1" si="1"/>
        <v/>
      </c>
      <c r="M27">
        <v>3002.4859999999999</v>
      </c>
      <c r="N27" s="28"/>
      <c r="O27" s="30">
        <v>1174.521</v>
      </c>
      <c r="Q27" t="str">
        <f t="shared" ca="1" si="0"/>
        <v/>
      </c>
      <c r="R27">
        <v>1252.8606669999999</v>
      </c>
    </row>
    <row r="28" spans="1:18" ht="18" x14ac:dyDescent="0.35">
      <c r="A28" s="1">
        <v>42277</v>
      </c>
      <c r="B28" s="2">
        <v>6260.2</v>
      </c>
      <c r="C28" s="2">
        <v>3064.0153329999998</v>
      </c>
      <c r="D28" s="33">
        <v>1257.22</v>
      </c>
      <c r="E28" s="2">
        <v>1139.1703333333332</v>
      </c>
      <c r="F28" s="2">
        <v>558.77233333333334</v>
      </c>
      <c r="G28" s="2">
        <v>839.99566666666669</v>
      </c>
      <c r="H28" s="2">
        <f>+Puesto_desest_trim[[#This Row],[Puestos_sector_privado ]]+Puesto_desest_trim[[#This Row],[Puestos_sector_publico TRIMESTRAL]]</f>
        <v>9324.2153330000001</v>
      </c>
      <c r="J28" s="25">
        <v>2725.0390000000002</v>
      </c>
      <c r="K28" s="28" t="str">
        <f t="shared" ca="1" si="1"/>
        <v/>
      </c>
      <c r="M28">
        <v>3064.0153329999998</v>
      </c>
      <c r="N28" s="28"/>
      <c r="O28" s="30">
        <v>1178.181</v>
      </c>
      <c r="Q28" t="str">
        <f t="shared" ca="1" si="0"/>
        <v/>
      </c>
      <c r="R28">
        <v>1254.404</v>
      </c>
    </row>
    <row r="29" spans="1:18" ht="18" x14ac:dyDescent="0.35">
      <c r="A29" s="1">
        <v>42369</v>
      </c>
      <c r="B29" s="2">
        <v>6246.833333333333</v>
      </c>
      <c r="C29" s="2">
        <v>3088.6333330000002</v>
      </c>
      <c r="D29" s="33">
        <v>1254.9216670000001</v>
      </c>
      <c r="E29" s="2">
        <v>1151.2466666666667</v>
      </c>
      <c r="F29" s="2">
        <v>562.49266666666665</v>
      </c>
      <c r="G29" s="2">
        <v>853.15033333333338</v>
      </c>
      <c r="H29" s="2">
        <f>+Puesto_desest_trim[[#This Row],[Puestos_sector_privado ]]+Puesto_desest_trim[[#This Row],[Puestos_sector_publico TRIMESTRAL]]</f>
        <v>9335.4666663333337</v>
      </c>
      <c r="J29" s="25">
        <v>2745.848</v>
      </c>
      <c r="K29" s="28">
        <f t="shared" ca="1" si="1"/>
        <v>2785.094333333333</v>
      </c>
      <c r="M29">
        <v>3088.6333330000002</v>
      </c>
      <c r="N29" s="28"/>
      <c r="O29" s="30">
        <v>1181.768</v>
      </c>
      <c r="Q29">
        <f t="shared" ca="1" si="0"/>
        <v>1185.76</v>
      </c>
      <c r="R29">
        <v>1258.7603329999999</v>
      </c>
    </row>
    <row r="30" spans="1:18" ht="18" x14ac:dyDescent="0.35">
      <c r="A30" s="1">
        <v>42460</v>
      </c>
      <c r="B30" s="2">
        <v>6204.7</v>
      </c>
      <c r="C30" s="2">
        <v>3090.6256669999998</v>
      </c>
      <c r="D30" s="33">
        <v>1243.179333</v>
      </c>
      <c r="E30" s="2">
        <v>1162.2006666666668</v>
      </c>
      <c r="F30" s="2">
        <v>562.56399999999996</v>
      </c>
      <c r="G30" s="2">
        <v>852.38266666666675</v>
      </c>
      <c r="H30" s="2">
        <f>+Puesto_desest_trim[[#This Row],[Puestos_sector_privado ]]+Puesto_desest_trim[[#This Row],[Puestos_sector_publico TRIMESTRAL]]</f>
        <v>9295.3256669999992</v>
      </c>
      <c r="J30" s="25">
        <v>2811.0680000000002</v>
      </c>
      <c r="K30" s="28" t="str">
        <f t="shared" ca="1" si="1"/>
        <v/>
      </c>
      <c r="M30">
        <v>3090.6256669999998</v>
      </c>
      <c r="N30" s="28"/>
      <c r="O30" s="30">
        <v>1185.5129999999999</v>
      </c>
      <c r="Q30" t="str">
        <f t="shared" ca="1" si="0"/>
        <v/>
      </c>
      <c r="R30">
        <v>1263.944</v>
      </c>
    </row>
    <row r="31" spans="1:18" ht="18" x14ac:dyDescent="0.35">
      <c r="A31" s="1">
        <v>42551</v>
      </c>
      <c r="B31" s="2">
        <v>6179.9000000000005</v>
      </c>
      <c r="C31" s="2">
        <v>3104.7089999999998</v>
      </c>
      <c r="D31" s="33">
        <v>1231.1553329999999</v>
      </c>
      <c r="E31" s="2">
        <v>1148.636</v>
      </c>
      <c r="F31" s="2">
        <v>557.87366666666674</v>
      </c>
      <c r="G31" s="2">
        <v>827.92033333333336</v>
      </c>
      <c r="H31" s="2">
        <f>+Puesto_desest_trim[[#This Row],[Puestos_sector_privado ]]+Puesto_desest_trim[[#This Row],[Puestos_sector_publico TRIMESTRAL]]</f>
        <v>9284.6090000000004</v>
      </c>
      <c r="J31" s="25">
        <v>2798.3670000000002</v>
      </c>
      <c r="K31" s="28" t="str">
        <f t="shared" ca="1" si="1"/>
        <v/>
      </c>
      <c r="M31">
        <v>3104.7089999999998</v>
      </c>
      <c r="N31" s="28"/>
      <c r="O31" s="30">
        <v>1189.999</v>
      </c>
      <c r="Q31" t="str">
        <f t="shared" ca="1" si="0"/>
        <v/>
      </c>
      <c r="R31">
        <v>1265.098</v>
      </c>
    </row>
    <row r="32" spans="1:18" ht="18" x14ac:dyDescent="0.35">
      <c r="A32" s="1">
        <v>42643</v>
      </c>
      <c r="B32" s="2">
        <v>6170.6333333333341</v>
      </c>
      <c r="C32" s="2">
        <v>3114.8139999999999</v>
      </c>
      <c r="D32" s="33">
        <v>1220.016333</v>
      </c>
      <c r="E32" s="2">
        <v>1150.5289999999998</v>
      </c>
      <c r="F32" s="2">
        <v>557.70233333333329</v>
      </c>
      <c r="G32" s="2">
        <v>818.67233333333343</v>
      </c>
      <c r="H32" s="2">
        <f>+Puesto_desest_trim[[#This Row],[Puestos_sector_privado ]]+Puesto_desest_trim[[#This Row],[Puestos_sector_publico TRIMESTRAL]]</f>
        <v>9285.4473333333335</v>
      </c>
      <c r="J32" s="25">
        <v>2811.1680000000001</v>
      </c>
      <c r="K32" s="28">
        <f t="shared" ca="1" si="1"/>
        <v>2814.654</v>
      </c>
      <c r="M32">
        <v>3114.8139999999999</v>
      </c>
      <c r="N32" s="28"/>
      <c r="O32" s="30">
        <v>1192</v>
      </c>
      <c r="Q32">
        <f t="shared" ca="1" si="0"/>
        <v>1195.1166666666666</v>
      </c>
      <c r="R32">
        <v>1265.3720000000001</v>
      </c>
    </row>
    <row r="33" spans="1:18" ht="18" x14ac:dyDescent="0.35">
      <c r="A33" s="1">
        <v>42735</v>
      </c>
      <c r="B33" s="2">
        <v>6183.8666666666659</v>
      </c>
      <c r="C33" s="2">
        <v>3117.0803329999999</v>
      </c>
      <c r="D33" s="33">
        <v>1209.4390000000001</v>
      </c>
      <c r="E33" s="2">
        <v>1162.8816666666667</v>
      </c>
      <c r="F33" s="2">
        <v>560.58600000000001</v>
      </c>
      <c r="G33" s="2">
        <v>828.32766666666669</v>
      </c>
      <c r="H33" s="2">
        <f>+Puesto_desest_trim[[#This Row],[Puestos_sector_privado ]]+Puesto_desest_trim[[#This Row],[Puestos_sector_publico TRIMESTRAL]]</f>
        <v>9300.9469996666667</v>
      </c>
      <c r="J33" s="25">
        <v>2813.0830000000001</v>
      </c>
      <c r="K33" s="28" t="str">
        <f t="shared" ca="1" si="1"/>
        <v/>
      </c>
      <c r="M33">
        <v>3117.0803329999999</v>
      </c>
      <c r="N33" s="28"/>
      <c r="O33" s="30">
        <v>1195.8520000000001</v>
      </c>
      <c r="Q33" t="str">
        <f t="shared" ca="1" si="0"/>
        <v/>
      </c>
      <c r="R33">
        <v>1265.394333</v>
      </c>
    </row>
    <row r="34" spans="1:18" ht="18" x14ac:dyDescent="0.35">
      <c r="A34" s="1">
        <v>42825</v>
      </c>
      <c r="B34" s="2">
        <v>6194.666666666667</v>
      </c>
      <c r="C34" s="2">
        <v>3123.9153329999999</v>
      </c>
      <c r="D34" s="33">
        <v>1202.5940000000001</v>
      </c>
      <c r="E34" s="2">
        <v>1171.1506666666667</v>
      </c>
      <c r="F34" s="2">
        <v>560.02266666666662</v>
      </c>
      <c r="G34" s="2">
        <v>842.31166666666661</v>
      </c>
      <c r="H34" s="2">
        <f>+Puesto_desest_trim[[#This Row],[Puestos_sector_privado ]]+Puesto_desest_trim[[#This Row],[Puestos_sector_publico TRIMESTRAL]]</f>
        <v>9318.5819996666669</v>
      </c>
      <c r="J34" s="25">
        <v>2819.7109999999998</v>
      </c>
      <c r="K34" s="28" t="str">
        <f t="shared" ca="1" si="1"/>
        <v/>
      </c>
      <c r="M34">
        <v>3123.9153329999999</v>
      </c>
      <c r="N34" s="28"/>
      <c r="O34" s="30">
        <v>1197.498</v>
      </c>
      <c r="Q34" t="str">
        <f t="shared" ca="1" si="0"/>
        <v/>
      </c>
      <c r="R34">
        <v>1257.2070000000001</v>
      </c>
    </row>
    <row r="35" spans="1:18" ht="18" x14ac:dyDescent="0.35">
      <c r="A35" s="1">
        <v>42916</v>
      </c>
      <c r="B35" s="2">
        <v>6212.9333333333334</v>
      </c>
      <c r="C35" s="2">
        <v>3137.4753329999999</v>
      </c>
      <c r="D35" s="33">
        <v>1197.0113329999999</v>
      </c>
      <c r="E35" s="2">
        <v>1159.5060000000001</v>
      </c>
      <c r="F35" s="2">
        <v>557.06466666666665</v>
      </c>
      <c r="G35" s="2">
        <v>826.0619999999999</v>
      </c>
      <c r="H35" s="2">
        <f>+Puesto_desest_trim[[#This Row],[Puestos_sector_privado ]]+Puesto_desest_trim[[#This Row],[Puestos_sector_publico TRIMESTRAL]]</f>
        <v>9350.4086663333328</v>
      </c>
      <c r="J35" s="25">
        <v>2836.41</v>
      </c>
      <c r="K35" s="28">
        <f t="shared" ca="1" si="1"/>
        <v>2842.741</v>
      </c>
      <c r="M35">
        <v>3137.4753329999999</v>
      </c>
      <c r="N35" s="28"/>
      <c r="O35" s="30">
        <v>1199.1590000000001</v>
      </c>
      <c r="Q35">
        <f t="shared" ca="1" si="0"/>
        <v>1202.4739999999999</v>
      </c>
      <c r="R35">
        <v>1250.819</v>
      </c>
    </row>
    <row r="36" spans="1:18" ht="18" x14ac:dyDescent="0.35">
      <c r="A36" s="1">
        <v>43008</v>
      </c>
      <c r="B36" s="2">
        <v>6238.7666666666664</v>
      </c>
      <c r="C36" s="2">
        <v>3152.2323329999999</v>
      </c>
      <c r="D36" s="33">
        <v>1192.420333</v>
      </c>
      <c r="E36" s="2">
        <v>1163.6096666666665</v>
      </c>
      <c r="F36" s="2">
        <v>558.8463333333334</v>
      </c>
      <c r="G36" s="2">
        <v>825.76299999999992</v>
      </c>
      <c r="H36" s="2">
        <f>+Puesto_desest_trim[[#This Row],[Puestos_sector_privado ]]+Puesto_desest_trim[[#This Row],[Puestos_sector_publico TRIMESTRAL]]</f>
        <v>9390.9989996666664</v>
      </c>
      <c r="J36" s="25">
        <v>2837.886</v>
      </c>
      <c r="K36" s="28" t="str">
        <f t="shared" ca="1" si="1"/>
        <v/>
      </c>
      <c r="M36">
        <v>3152.2323329999999</v>
      </c>
      <c r="N36" s="28"/>
      <c r="O36" s="30">
        <v>1200.93</v>
      </c>
      <c r="Q36" t="str">
        <f t="shared" ca="1" si="0"/>
        <v/>
      </c>
      <c r="R36">
        <v>1245.9866669999999</v>
      </c>
    </row>
    <row r="37" spans="1:18" ht="18" x14ac:dyDescent="0.35">
      <c r="A37" s="1">
        <v>43100</v>
      </c>
      <c r="B37" s="2">
        <v>6269.2</v>
      </c>
      <c r="C37" s="2">
        <v>3160.7233329999999</v>
      </c>
      <c r="D37" s="33">
        <v>1192.5736669999999</v>
      </c>
      <c r="E37" s="2">
        <v>1177.1573333333333</v>
      </c>
      <c r="F37" s="2">
        <v>561.46833333333325</v>
      </c>
      <c r="G37" s="2">
        <v>840.00366666666685</v>
      </c>
      <c r="H37" s="2">
        <f>+Puesto_desest_trim[[#This Row],[Puestos_sector_privado ]]+Puesto_desest_trim[[#This Row],[Puestos_sector_publico TRIMESTRAL]]</f>
        <v>9429.9233329999988</v>
      </c>
      <c r="J37" s="25">
        <v>2853.9270000000001</v>
      </c>
      <c r="K37" s="28" t="str">
        <f t="shared" ca="1" si="1"/>
        <v/>
      </c>
      <c r="M37">
        <v>3160.7233329999999</v>
      </c>
      <c r="N37" s="28"/>
      <c r="O37" s="30">
        <v>1207.3330000000001</v>
      </c>
      <c r="Q37" t="str">
        <f t="shared" ca="1" si="0"/>
        <v/>
      </c>
      <c r="R37">
        <v>1243.291667</v>
      </c>
    </row>
    <row r="38" spans="1:18" ht="18" x14ac:dyDescent="0.35">
      <c r="A38" s="1">
        <v>43190</v>
      </c>
      <c r="B38" s="2">
        <v>6274.9333333333334</v>
      </c>
      <c r="C38" s="2">
        <v>3166.8989999999999</v>
      </c>
      <c r="D38" s="33">
        <v>1187.6120000000001</v>
      </c>
      <c r="E38" s="2">
        <v>1186.442</v>
      </c>
      <c r="F38" s="2">
        <v>561.89800000000002</v>
      </c>
      <c r="G38" s="2">
        <v>853.35933333333332</v>
      </c>
      <c r="H38" s="2">
        <f>+Puesto_desest_trim[[#This Row],[Puestos_sector_privado ]]+Puesto_desest_trim[[#This Row],[Puestos_sector_publico TRIMESTRAL]]</f>
        <v>9441.8323333333337</v>
      </c>
      <c r="J38" s="25">
        <v>2856.33</v>
      </c>
      <c r="K38" s="28">
        <f t="shared" ca="1" si="1"/>
        <v>2845.1109999999994</v>
      </c>
      <c r="M38">
        <v>3166.8989999999999</v>
      </c>
      <c r="N38" s="28"/>
      <c r="O38" s="30">
        <v>1212.9390000000001</v>
      </c>
      <c r="Q38">
        <f t="shared" ca="1" si="0"/>
        <v>1218.1556666666665</v>
      </c>
      <c r="R38">
        <v>1245.439333</v>
      </c>
    </row>
    <row r="39" spans="1:18" ht="18" x14ac:dyDescent="0.35">
      <c r="A39" s="1">
        <v>43281</v>
      </c>
      <c r="B39" s="2">
        <v>6270.4333333333334</v>
      </c>
      <c r="C39" s="2">
        <v>3159.8303329999999</v>
      </c>
      <c r="D39" s="33">
        <v>1176.82</v>
      </c>
      <c r="E39" s="2">
        <v>1170.8723333333335</v>
      </c>
      <c r="F39" s="2">
        <v>558.70799999999997</v>
      </c>
      <c r="G39" s="2">
        <v>837.15299999999991</v>
      </c>
      <c r="H39" s="2">
        <f>+Puesto_desest_trim[[#This Row],[Puestos_sector_privado ]]+Puesto_desest_trim[[#This Row],[Puestos_sector_publico TRIMESTRAL]]</f>
        <v>9430.2636663333324</v>
      </c>
      <c r="J39" s="25">
        <v>2864.8649999999998</v>
      </c>
      <c r="K39" s="28" t="str">
        <f t="shared" ca="1" si="1"/>
        <v/>
      </c>
      <c r="M39">
        <v>3159.8303329999999</v>
      </c>
      <c r="N39" s="28"/>
      <c r="O39" s="30">
        <v>1218.9469999999999</v>
      </c>
      <c r="Q39" t="str">
        <f t="shared" ca="1" si="0"/>
        <v/>
      </c>
      <c r="R39">
        <v>1254.0493329999999</v>
      </c>
    </row>
    <row r="40" spans="1:18" ht="18" x14ac:dyDescent="0.35">
      <c r="A40" s="1">
        <v>43373</v>
      </c>
      <c r="B40" s="2">
        <v>6229.5999999999995</v>
      </c>
      <c r="C40" s="2">
        <v>3160.820667</v>
      </c>
      <c r="D40" s="33">
        <v>1159.0046669999999</v>
      </c>
      <c r="E40" s="2">
        <v>1161.4463333333333</v>
      </c>
      <c r="F40" s="2">
        <v>555.40300000000002</v>
      </c>
      <c r="G40" s="2">
        <v>829.05966666666666</v>
      </c>
      <c r="H40" s="2">
        <f>+Puesto_desest_trim[[#This Row],[Puestos_sector_privado ]]+Puesto_desest_trim[[#This Row],[Puestos_sector_publico TRIMESTRAL]]</f>
        <v>9390.4206669999985</v>
      </c>
      <c r="J40" s="25">
        <v>2814.1379999999999</v>
      </c>
      <c r="K40" s="28" t="str">
        <f t="shared" ca="1" si="1"/>
        <v/>
      </c>
      <c r="M40">
        <v>3160.820667</v>
      </c>
      <c r="N40" s="28"/>
      <c r="O40" s="30">
        <v>1222.5809999999999</v>
      </c>
      <c r="Q40" t="str">
        <f t="shared" ca="1" si="0"/>
        <v/>
      </c>
      <c r="R40">
        <v>1257.22</v>
      </c>
    </row>
    <row r="41" spans="1:18" ht="18" x14ac:dyDescent="0.35">
      <c r="A41" s="1">
        <v>43465</v>
      </c>
      <c r="B41" s="2">
        <v>6172.4333333333343</v>
      </c>
      <c r="C41" s="2">
        <v>3159.8339999999998</v>
      </c>
      <c r="D41" s="33">
        <v>1137.798667</v>
      </c>
      <c r="E41" s="2">
        <v>1149.9133333333332</v>
      </c>
      <c r="F41" s="2">
        <v>550.51666666666677</v>
      </c>
      <c r="G41" s="2">
        <v>832.01466666666659</v>
      </c>
      <c r="H41" s="2">
        <f>+Puesto_desest_trim[[#This Row],[Puestos_sector_privado ]]+Puesto_desest_trim[[#This Row],[Puestos_sector_publico TRIMESTRAL]]</f>
        <v>9332.2673333333332</v>
      </c>
      <c r="J41" s="25">
        <v>2874.8470000000002</v>
      </c>
      <c r="K41" s="28">
        <f t="shared" ca="1" si="1"/>
        <v>2883.8693333333335</v>
      </c>
      <c r="M41">
        <v>3159.8339999999998</v>
      </c>
      <c r="N41" s="28"/>
      <c r="O41" s="30">
        <v>1229.1849999999999</v>
      </c>
      <c r="Q41">
        <f t="shared" ca="1" si="0"/>
        <v>1233.8806666666667</v>
      </c>
      <c r="R41">
        <v>1254.9216670000001</v>
      </c>
    </row>
    <row r="42" spans="1:18" ht="18" x14ac:dyDescent="0.35">
      <c r="A42" s="1">
        <v>43555</v>
      </c>
      <c r="B42" s="2">
        <v>6143.2666666666664</v>
      </c>
      <c r="C42" s="2">
        <v>3168.740667</v>
      </c>
      <c r="D42" s="33">
        <v>1125.521</v>
      </c>
      <c r="E42" s="2">
        <v>1145.4423333333332</v>
      </c>
      <c r="F42" s="2">
        <v>545.71433333333334</v>
      </c>
      <c r="G42" s="2">
        <v>842.09299999999996</v>
      </c>
      <c r="H42" s="2">
        <f>+Puesto_desest_trim[[#This Row],[Puestos_sector_privado ]]+Puesto_desest_trim[[#This Row],[Puestos_sector_publico TRIMESTRAL]]</f>
        <v>9312.0073336666665</v>
      </c>
      <c r="J42" s="25">
        <v>2884.1970000000001</v>
      </c>
      <c r="K42" s="28" t="str">
        <f t="shared" ca="1" si="1"/>
        <v/>
      </c>
      <c r="M42">
        <v>3168.740667</v>
      </c>
      <c r="N42" s="28"/>
      <c r="O42" s="30">
        <v>1234.4280000000001</v>
      </c>
      <c r="Q42" t="str">
        <f t="shared" ca="1" si="0"/>
        <v/>
      </c>
      <c r="R42">
        <v>1243.179333</v>
      </c>
    </row>
    <row r="43" spans="1:18" ht="18" x14ac:dyDescent="0.35">
      <c r="A43" s="1">
        <v>43646</v>
      </c>
      <c r="B43" s="2">
        <v>6119.7666666666664</v>
      </c>
      <c r="C43" s="2">
        <v>3184.2413329999999</v>
      </c>
      <c r="D43" s="33">
        <v>1113.2456669999999</v>
      </c>
      <c r="E43" s="2">
        <v>1123.8136666666667</v>
      </c>
      <c r="F43" s="2">
        <v>540.2886666666667</v>
      </c>
      <c r="G43" s="2">
        <v>823.30400000000009</v>
      </c>
      <c r="H43" s="2">
        <f>+Puesto_desest_trim[[#This Row],[Puestos_sector_privado ]]+Puesto_desest_trim[[#This Row],[Puestos_sector_publico TRIMESTRAL]]</f>
        <v>9304.0079996666664</v>
      </c>
      <c r="J43" s="25">
        <v>2892.5639999999999</v>
      </c>
      <c r="K43" s="28" t="str">
        <f t="shared" ca="1" si="1"/>
        <v/>
      </c>
      <c r="M43">
        <v>3184.2413329999999</v>
      </c>
      <c r="N43" s="28"/>
      <c r="O43" s="30">
        <v>1238.029</v>
      </c>
      <c r="Q43" t="str">
        <f t="shared" ca="1" si="0"/>
        <v/>
      </c>
      <c r="R43">
        <v>1231.1553329999999</v>
      </c>
    </row>
    <row r="44" spans="1:18" ht="18" x14ac:dyDescent="0.35">
      <c r="A44" s="1">
        <v>43738</v>
      </c>
      <c r="B44" s="2">
        <v>6088.9000000000005</v>
      </c>
      <c r="C44" s="2">
        <v>3192.8216670000002</v>
      </c>
      <c r="D44" s="33">
        <v>1103.786333</v>
      </c>
      <c r="E44" s="2">
        <v>1119.2843333333333</v>
      </c>
      <c r="F44" s="2">
        <v>537.98733333333337</v>
      </c>
      <c r="G44" s="2">
        <v>820.94866666666667</v>
      </c>
      <c r="H44" s="2">
        <f>+Puesto_desest_trim[[#This Row],[Puestos_sector_privado ]]+Puesto_desest_trim[[#This Row],[Puestos_sector_publico TRIMESTRAL]]</f>
        <v>9281.7216670000016</v>
      </c>
      <c r="J44" s="25">
        <v>2902.2739999999999</v>
      </c>
      <c r="K44" s="28">
        <f t="shared" ca="1" si="1"/>
        <v>2911.6023333333337</v>
      </c>
      <c r="M44">
        <v>3192.8216670000002</v>
      </c>
      <c r="N44" s="28"/>
      <c r="O44" s="30">
        <v>1241.99</v>
      </c>
      <c r="Q44">
        <f t="shared" ca="1" si="0"/>
        <v>1245.6263333333334</v>
      </c>
      <c r="R44">
        <v>1220.016333</v>
      </c>
    </row>
    <row r="45" spans="1:18" ht="18" x14ac:dyDescent="0.35">
      <c r="A45" s="1">
        <v>43830</v>
      </c>
      <c r="B45" s="2">
        <v>6022.7000000000007</v>
      </c>
      <c r="C45" s="2">
        <v>3208.346</v>
      </c>
      <c r="D45" s="33">
        <v>1088.6886669999999</v>
      </c>
      <c r="E45" s="2">
        <v>1116.4010000000001</v>
      </c>
      <c r="F45" s="2">
        <v>537.1</v>
      </c>
      <c r="G45" s="2">
        <v>828.29933333333338</v>
      </c>
      <c r="H45" s="2">
        <f>+Puesto_desest_trim[[#This Row],[Puestos_sector_privado ]]+Puesto_desest_trim[[#This Row],[Puestos_sector_publico TRIMESTRAL]]</f>
        <v>9231.0460000000003</v>
      </c>
      <c r="J45" s="25">
        <v>2907.23</v>
      </c>
      <c r="K45" s="28" t="str">
        <f t="shared" ca="1" si="1"/>
        <v/>
      </c>
      <c r="M45">
        <v>3208.346</v>
      </c>
      <c r="N45" s="28"/>
      <c r="O45" s="30">
        <v>1245.356</v>
      </c>
      <c r="Q45" t="str">
        <f t="shared" ca="1" si="0"/>
        <v/>
      </c>
      <c r="R45">
        <v>1209.4390000000001</v>
      </c>
    </row>
    <row r="46" spans="1:18" ht="18" x14ac:dyDescent="0.35">
      <c r="A46" s="1">
        <v>43921</v>
      </c>
      <c r="B46" s="2">
        <v>5975.5666666666657</v>
      </c>
      <c r="C46" s="2">
        <v>3212.1869999999999</v>
      </c>
      <c r="D46" s="33">
        <v>1084.461667</v>
      </c>
      <c r="E46" s="2">
        <v>1121.2969999999998</v>
      </c>
      <c r="F46" s="2">
        <v>534.88400000000001</v>
      </c>
      <c r="G46" s="2">
        <v>838.47433333333322</v>
      </c>
      <c r="H46" s="2">
        <f>+Puesto_desest_trim[[#This Row],[Puestos_sector_privado ]]+Puesto_desest_trim[[#This Row],[Puestos_sector_publico TRIMESTRAL]]</f>
        <v>9187.7536666666656</v>
      </c>
      <c r="J46" s="25">
        <v>2925.3029999999999</v>
      </c>
      <c r="K46" s="28" t="str">
        <f t="shared" ca="1" si="1"/>
        <v/>
      </c>
      <c r="M46">
        <v>3212.1869999999999</v>
      </c>
      <c r="N46" s="28"/>
      <c r="O46" s="30">
        <v>1249.5329999999999</v>
      </c>
      <c r="Q46" t="str">
        <f t="shared" ca="1" si="0"/>
        <v/>
      </c>
      <c r="R46">
        <v>1202.5940000000001</v>
      </c>
    </row>
    <row r="47" spans="1:18" ht="18" x14ac:dyDescent="0.35">
      <c r="A47" s="1">
        <v>44012</v>
      </c>
      <c r="B47" s="2">
        <v>5821.3</v>
      </c>
      <c r="C47" s="2">
        <v>3200.7063330000001</v>
      </c>
      <c r="D47" s="33">
        <v>1076.721333</v>
      </c>
      <c r="E47" s="2">
        <v>1093.6323333333332</v>
      </c>
      <c r="F47" s="2">
        <v>522.9946666666666</v>
      </c>
      <c r="G47" s="2">
        <v>802.98433333333332</v>
      </c>
      <c r="H47" s="2">
        <f>+Puesto_desest_trim[[#This Row],[Puestos_sector_privado ]]+Puesto_desest_trim[[#This Row],[Puestos_sector_publico TRIMESTRAL]]</f>
        <v>9022.0063330000012</v>
      </c>
      <c r="J47" s="25">
        <v>2928.8240000000001</v>
      </c>
      <c r="K47" s="28">
        <f t="shared" ca="1" si="1"/>
        <v>2938.1509999999998</v>
      </c>
      <c r="M47">
        <v>3200.7063330000001</v>
      </c>
      <c r="N47" s="28"/>
      <c r="O47" s="30">
        <v>1252.4580000000001</v>
      </c>
      <c r="Q47">
        <f t="shared" ca="1" si="0"/>
        <v>1254.6876666666667</v>
      </c>
      <c r="R47">
        <v>1197.0113329999999</v>
      </c>
    </row>
    <row r="48" spans="1:18" ht="18" x14ac:dyDescent="0.35">
      <c r="A48" s="1">
        <v>44104</v>
      </c>
      <c r="B48" s="2">
        <v>5797.0666666666666</v>
      </c>
      <c r="C48" s="2">
        <v>3202.6496670000001</v>
      </c>
      <c r="D48" s="33">
        <v>1083.136</v>
      </c>
      <c r="E48" s="2">
        <v>1089.0176666666666</v>
      </c>
      <c r="F48" s="2">
        <v>518.97766666666666</v>
      </c>
      <c r="G48" s="2">
        <v>811.74733333333336</v>
      </c>
      <c r="H48" s="2">
        <f>+Puesto_desest_trim[[#This Row],[Puestos_sector_privado ]]+Puesto_desest_trim[[#This Row],[Puestos_sector_publico TRIMESTRAL]]</f>
        <v>8999.7163336666672</v>
      </c>
      <c r="J48" s="25">
        <v>2943.556</v>
      </c>
      <c r="K48" s="28" t="str">
        <f t="shared" ca="1" si="1"/>
        <v/>
      </c>
      <c r="M48">
        <v>3202.6496670000001</v>
      </c>
      <c r="N48" s="28"/>
      <c r="O48" s="30">
        <v>1255.0070000000001</v>
      </c>
      <c r="Q48" t="str">
        <f t="shared" ca="1" si="0"/>
        <v/>
      </c>
      <c r="R48">
        <v>1192.420333</v>
      </c>
    </row>
    <row r="49" spans="1:18" ht="18" x14ac:dyDescent="0.35">
      <c r="A49" s="1">
        <v>44196</v>
      </c>
      <c r="B49" s="2">
        <v>5805.333333333333</v>
      </c>
      <c r="C49" s="2">
        <v>3215.5946669999998</v>
      </c>
      <c r="D49" s="33">
        <v>1093.3630000000001</v>
      </c>
      <c r="E49" s="2">
        <v>1092.5013333333334</v>
      </c>
      <c r="F49" s="2">
        <v>516.30466666666666</v>
      </c>
      <c r="G49" s="2">
        <v>830.52733333333344</v>
      </c>
      <c r="H49" s="2">
        <f>+Puesto_desest_trim[[#This Row],[Puestos_sector_privado ]]+Puesto_desest_trim[[#This Row],[Puestos_sector_publico TRIMESTRAL]]</f>
        <v>9020.9280003333333</v>
      </c>
      <c r="J49" s="25">
        <v>2942.0729999999999</v>
      </c>
      <c r="K49" s="28" t="str">
        <f t="shared" ca="1" si="1"/>
        <v/>
      </c>
      <c r="M49">
        <v>3215.5946669999998</v>
      </c>
      <c r="N49" s="28"/>
      <c r="O49" s="30">
        <v>1256.598</v>
      </c>
      <c r="Q49" t="str">
        <f t="shared" ca="1" si="0"/>
        <v/>
      </c>
      <c r="R49">
        <v>1192.5736669999999</v>
      </c>
    </row>
    <row r="50" spans="1:18" ht="18" x14ac:dyDescent="0.35">
      <c r="A50" s="1">
        <v>44286</v>
      </c>
      <c r="B50" s="2">
        <v>5841.2</v>
      </c>
      <c r="C50" s="2">
        <v>3241.4609999999998</v>
      </c>
      <c r="D50" s="33">
        <v>1100.568</v>
      </c>
      <c r="E50" s="2">
        <v>1101.547</v>
      </c>
      <c r="F50" s="2">
        <v>516.09299999999996</v>
      </c>
      <c r="G50" s="2">
        <v>848.33100000000002</v>
      </c>
      <c r="H50" s="2">
        <f>+Puesto_desest_trim[[#This Row],[Puestos_sector_privado ]]+Puesto_desest_trim[[#This Row],[Puestos_sector_publico TRIMESTRAL]]</f>
        <v>9082.6610000000001</v>
      </c>
      <c r="J50" s="25">
        <v>2956.2280000000001</v>
      </c>
      <c r="K50" s="28">
        <f t="shared" ca="1" si="1"/>
        <v>2965.9929999999999</v>
      </c>
      <c r="M50">
        <v>3241.4609999999998</v>
      </c>
      <c r="N50" s="28"/>
      <c r="O50" s="30">
        <v>1255.4290000000001</v>
      </c>
      <c r="Q50">
        <f t="shared" ca="1" si="0"/>
        <v>1254.579</v>
      </c>
      <c r="R50">
        <v>1187.6120000000001</v>
      </c>
    </row>
    <row r="51" spans="1:18" ht="18" x14ac:dyDescent="0.35">
      <c r="A51" s="1">
        <v>44377</v>
      </c>
      <c r="B51" s="2">
        <v>5898.166666666667</v>
      </c>
      <c r="C51" s="2">
        <v>3271.875</v>
      </c>
      <c r="D51" s="33">
        <v>1110.9076669999999</v>
      </c>
      <c r="E51" s="2">
        <v>1097.3496666666667</v>
      </c>
      <c r="F51" s="2">
        <v>512.94600000000003</v>
      </c>
      <c r="G51" s="2">
        <v>846.59</v>
      </c>
      <c r="H51" s="2">
        <f>+Puesto_desest_trim[[#This Row],[Puestos_sector_privado ]]+Puesto_desest_trim[[#This Row],[Puestos_sector_publico TRIMESTRAL]]</f>
        <v>9170.0416666666679</v>
      </c>
      <c r="J51" s="25">
        <v>2967.27</v>
      </c>
      <c r="K51" s="28" t="str">
        <f t="shared" ca="1" si="1"/>
        <v/>
      </c>
      <c r="M51">
        <v>3271.875</v>
      </c>
      <c r="N51" s="28"/>
      <c r="O51" s="30">
        <v>1253.9860000000001</v>
      </c>
      <c r="Q51" t="str">
        <f t="shared" ca="1" si="0"/>
        <v/>
      </c>
      <c r="R51">
        <v>1176.82</v>
      </c>
    </row>
    <row r="52" spans="1:18" ht="18" x14ac:dyDescent="0.35">
      <c r="A52" s="1">
        <v>44469</v>
      </c>
      <c r="B52" s="2">
        <v>5918.6000000000013</v>
      </c>
      <c r="C52" s="2">
        <v>3298.3163330000002</v>
      </c>
      <c r="D52" s="33">
        <v>1114.0740000000001</v>
      </c>
      <c r="E52" s="2">
        <v>1099.7363333333333</v>
      </c>
      <c r="F52" s="2">
        <v>511.51033333333334</v>
      </c>
      <c r="G52" s="2">
        <v>845.80266666666682</v>
      </c>
      <c r="H52" s="2">
        <f>+Puesto_desest_trim[[#This Row],[Puestos_sector_privado ]]+Puesto_desest_trim[[#This Row],[Puestos_sector_publico TRIMESTRAL]]</f>
        <v>9216.916333000001</v>
      </c>
      <c r="J52" s="25">
        <v>2974.4810000000002</v>
      </c>
      <c r="K52" s="28" t="str">
        <f t="shared" ca="1" si="1"/>
        <v/>
      </c>
      <c r="M52">
        <v>3298.3163330000002</v>
      </c>
      <c r="N52" s="28"/>
      <c r="O52" s="30">
        <v>1254.3219999999999</v>
      </c>
      <c r="Q52" t="str">
        <f t="shared" ca="1" si="0"/>
        <v/>
      </c>
      <c r="R52">
        <v>1159.0046669999999</v>
      </c>
    </row>
    <row r="53" spans="1:18" ht="18" x14ac:dyDescent="0.35">
      <c r="A53" s="1">
        <v>44561</v>
      </c>
      <c r="B53" s="2">
        <v>5976.8999999999987</v>
      </c>
      <c r="C53" s="2">
        <v>3328.4736670000002</v>
      </c>
      <c r="D53" s="33">
        <v>1122.6373329999999</v>
      </c>
      <c r="E53" s="2">
        <v>1117.9003333333333</v>
      </c>
      <c r="F53" s="2">
        <v>514.97966666666662</v>
      </c>
      <c r="G53" s="2">
        <v>863.63333333333333</v>
      </c>
      <c r="H53" s="2">
        <f>+Puesto_desest_trim[[#This Row],[Puestos_sector_privado ]]+Puesto_desest_trim[[#This Row],[Puestos_sector_publico TRIMESTRAL]]</f>
        <v>9305.3736669999998</v>
      </c>
      <c r="J53" s="25">
        <v>2988.59</v>
      </c>
      <c r="K53" s="28">
        <f t="shared" ca="1" si="1"/>
        <v>3002.4860000000003</v>
      </c>
      <c r="M53">
        <v>3328.4736670000002</v>
      </c>
      <c r="N53" s="28"/>
      <c r="O53" s="30">
        <v>1253.0039999999999</v>
      </c>
      <c r="Q53">
        <f t="shared" ca="1" si="0"/>
        <v>1252.8606666666667</v>
      </c>
      <c r="R53">
        <v>1137.798667</v>
      </c>
    </row>
    <row r="54" spans="1:18" ht="18" x14ac:dyDescent="0.35">
      <c r="A54" s="1">
        <v>44651</v>
      </c>
      <c r="B54" s="2">
        <v>6062.5</v>
      </c>
      <c r="C54" s="2">
        <v>3338.797333</v>
      </c>
      <c r="D54" s="33">
        <v>1135.7829999999999</v>
      </c>
      <c r="E54" s="2">
        <v>1140.8836666666668</v>
      </c>
      <c r="F54" s="2">
        <v>519.779</v>
      </c>
      <c r="G54" s="2">
        <v>890.18666666666661</v>
      </c>
      <c r="H54" s="2">
        <f>+Puesto_desest_trim[[#This Row],[Puestos_sector_privado ]]+Puesto_desest_trim[[#This Row],[Puestos_sector_publico TRIMESTRAL]]</f>
        <v>9401.2973330000004</v>
      </c>
      <c r="J54" s="25">
        <v>3003.1529999999998</v>
      </c>
      <c r="K54" s="28" t="str">
        <f t="shared" ca="1" si="1"/>
        <v/>
      </c>
      <c r="M54">
        <v>3338.797333</v>
      </c>
      <c r="N54" s="28"/>
      <c r="O54" s="30">
        <v>1252.877</v>
      </c>
      <c r="Q54" t="str">
        <f t="shared" ca="1" si="0"/>
        <v/>
      </c>
      <c r="R54">
        <v>1125.521</v>
      </c>
    </row>
    <row r="55" spans="1:18" ht="18" x14ac:dyDescent="0.35">
      <c r="A55" s="1">
        <v>44742</v>
      </c>
      <c r="B55" s="2">
        <v>6142.666666666667</v>
      </c>
      <c r="C55" s="2">
        <v>3357.393</v>
      </c>
      <c r="D55" s="33">
        <v>1151.452</v>
      </c>
      <c r="E55" s="2">
        <v>1145.9916666666668</v>
      </c>
      <c r="F55" s="2">
        <v>519.04800000000012</v>
      </c>
      <c r="G55" s="2">
        <v>878.70166666666671</v>
      </c>
      <c r="H55" s="2">
        <f>+Puesto_desest_trim[[#This Row],[Puestos_sector_privado ]]+Puesto_desest_trim[[#This Row],[Puestos_sector_publico TRIMESTRAL]]</f>
        <v>9500.0596666666679</v>
      </c>
      <c r="J55" s="25">
        <v>3015.7150000000001</v>
      </c>
      <c r="K55" s="28" t="str">
        <f t="shared" ca="1" si="1"/>
        <v/>
      </c>
      <c r="M55">
        <v>3357.393</v>
      </c>
      <c r="N55" s="28"/>
      <c r="O55" s="30">
        <v>1252.701</v>
      </c>
      <c r="Q55" t="str">
        <f t="shared" ca="1" si="0"/>
        <v/>
      </c>
      <c r="R55">
        <v>1113.2456669999999</v>
      </c>
    </row>
    <row r="56" spans="1:18" ht="18" x14ac:dyDescent="0.35">
      <c r="A56" s="1">
        <v>44834</v>
      </c>
      <c r="B56" s="2">
        <v>6212.166666666667</v>
      </c>
      <c r="C56" s="2">
        <v>3373.5610000000001</v>
      </c>
      <c r="D56" s="33">
        <v>1163.853333</v>
      </c>
      <c r="E56" s="2">
        <v>1162.7143333333333</v>
      </c>
      <c r="F56" s="2">
        <v>523.92399999999998</v>
      </c>
      <c r="G56" s="2">
        <v>881.87233333333336</v>
      </c>
      <c r="H56" s="2">
        <f>+Puesto_desest_trim[[#This Row],[Puestos_sector_privado ]]+Puesto_desest_trim[[#This Row],[Puestos_sector_publico TRIMESTRAL]]</f>
        <v>9585.7276666666676</v>
      </c>
      <c r="J56" s="25">
        <v>3056.8989999999999</v>
      </c>
      <c r="K56" s="28">
        <f t="shared" ca="1" si="1"/>
        <v>3064.0153333333333</v>
      </c>
      <c r="M56">
        <v>3373.5610000000001</v>
      </c>
      <c r="N56" s="28"/>
      <c r="O56" s="30">
        <v>1253.777</v>
      </c>
      <c r="Q56">
        <f t="shared" ca="1" si="0"/>
        <v>1254.4040000000002</v>
      </c>
      <c r="R56">
        <v>1103.786333</v>
      </c>
    </row>
    <row r="57" spans="1:18" ht="18" x14ac:dyDescent="0.35">
      <c r="A57" s="1">
        <v>44926</v>
      </c>
      <c r="B57" s="2">
        <v>6261.5666666666666</v>
      </c>
      <c r="C57" s="2">
        <v>3385.3013329999999</v>
      </c>
      <c r="D57" s="33">
        <v>1172.4010000000001</v>
      </c>
      <c r="E57" s="2">
        <v>1184.0963333333332</v>
      </c>
      <c r="F57" s="2">
        <v>527.5483333333334</v>
      </c>
      <c r="G57" s="2">
        <v>894.58066666666673</v>
      </c>
      <c r="H57" s="2">
        <f>+Puesto_desest_trim[[#This Row],[Puestos_sector_privado ]]+Puesto_desest_trim[[#This Row],[Puestos_sector_publico TRIMESTRAL]]</f>
        <v>9646.8679996666669</v>
      </c>
      <c r="J57" s="25">
        <v>3066.3690000000001</v>
      </c>
      <c r="K57" s="28" t="str">
        <f t="shared" ca="1" si="1"/>
        <v/>
      </c>
      <c r="M57">
        <v>3385.3013329999999</v>
      </c>
      <c r="N57" s="28"/>
      <c r="O57" s="30">
        <v>1254.8800000000001</v>
      </c>
      <c r="Q57" t="str">
        <f t="shared" ca="1" si="0"/>
        <v/>
      </c>
      <c r="R57">
        <v>1088.6886669999999</v>
      </c>
    </row>
    <row r="58" spans="1:18" ht="18" x14ac:dyDescent="0.35">
      <c r="A58" s="1">
        <v>45016</v>
      </c>
      <c r="B58" s="2">
        <v>6315.4666666666672</v>
      </c>
      <c r="C58" s="2">
        <v>3409.86</v>
      </c>
      <c r="D58" s="33">
        <v>1181.143</v>
      </c>
      <c r="E58" s="2">
        <v>1205.7049999999999</v>
      </c>
      <c r="F58" s="2">
        <v>529.15433333333328</v>
      </c>
      <c r="G58" s="2">
        <v>910.11133333333339</v>
      </c>
      <c r="H58" s="2">
        <f>+Puesto_desest_trim[[#This Row],[Puestos_sector_privado ]]+Puesto_desest_trim[[#This Row],[Puestos_sector_publico TRIMESTRAL]]</f>
        <v>9725.3266666666677</v>
      </c>
      <c r="J58" s="25">
        <v>3068.7779999999998</v>
      </c>
      <c r="K58" s="28" t="str">
        <f t="shared" ca="1" si="1"/>
        <v/>
      </c>
      <c r="M58">
        <v>3409.86</v>
      </c>
      <c r="N58" s="28"/>
      <c r="O58" s="30">
        <v>1254.5550000000001</v>
      </c>
      <c r="Q58" t="str">
        <f t="shared" ca="1" si="0"/>
        <v/>
      </c>
      <c r="R58">
        <v>1084.461667</v>
      </c>
    </row>
    <row r="59" spans="1:18" ht="18" x14ac:dyDescent="0.35">
      <c r="A59" s="1">
        <v>45107</v>
      </c>
      <c r="B59" s="2">
        <v>6370.5666666666657</v>
      </c>
      <c r="C59" s="2">
        <v>3440.173667</v>
      </c>
      <c r="D59" s="33">
        <v>1190.2729999999999</v>
      </c>
      <c r="E59" s="2">
        <v>1207.1849999999999</v>
      </c>
      <c r="F59" s="2">
        <v>527.10133333333329</v>
      </c>
      <c r="G59" s="2">
        <v>896.76599999999996</v>
      </c>
      <c r="H59" s="2">
        <f>+Puesto_desest_trim[[#This Row],[Puestos_sector_privado ]]+Puesto_desest_trim[[#This Row],[Puestos_sector_publico TRIMESTRAL]]</f>
        <v>9810.7403336666648</v>
      </c>
      <c r="J59" s="25">
        <v>3083.8270000000002</v>
      </c>
      <c r="K59" s="28">
        <f t="shared" ca="1" si="1"/>
        <v>3088.6333333333337</v>
      </c>
      <c r="M59">
        <v>3440.173667</v>
      </c>
      <c r="N59" s="28"/>
      <c r="O59" s="30">
        <v>1255.345</v>
      </c>
      <c r="Q59">
        <f t="shared" ca="1" si="0"/>
        <v>1258.7603333333334</v>
      </c>
      <c r="R59">
        <v>1076.721333</v>
      </c>
    </row>
    <row r="60" spans="1:18" ht="18" x14ac:dyDescent="0.35">
      <c r="A60" s="1">
        <v>45199</v>
      </c>
      <c r="B60" s="2">
        <v>6402.5666666666666</v>
      </c>
      <c r="C60" s="2">
        <v>3464.2040000000002</v>
      </c>
      <c r="D60" s="33">
        <v>1196.894667</v>
      </c>
      <c r="E60" s="2">
        <v>1223.0330000000001</v>
      </c>
      <c r="F60" s="2">
        <v>530.36900000000003</v>
      </c>
      <c r="G60" s="2">
        <v>896.09933333333322</v>
      </c>
      <c r="H60" s="2">
        <f>+Puesto_desest_trim[[#This Row],[Puestos_sector_privado ]]+Puesto_desest_trim[[#This Row],[Puestos_sector_publico TRIMESTRAL]]</f>
        <v>9866.7706666666672</v>
      </c>
      <c r="J60" s="25">
        <v>3093.1570000000002</v>
      </c>
      <c r="K60" s="28" t="str">
        <f t="shared" ca="1" si="1"/>
        <v/>
      </c>
      <c r="M60">
        <v>3464.2040000000002</v>
      </c>
      <c r="N60" s="28"/>
      <c r="O60" s="30">
        <v>1257.623</v>
      </c>
      <c r="Q60" t="str">
        <f t="shared" ca="1" si="0"/>
        <v/>
      </c>
      <c r="R60">
        <v>1083.136</v>
      </c>
    </row>
    <row r="61" spans="1:18" ht="18" x14ac:dyDescent="0.35">
      <c r="A61" s="1">
        <v>45291</v>
      </c>
      <c r="B61" s="2">
        <v>6369.3</v>
      </c>
      <c r="C61" s="2">
        <v>3470.8683329999999</v>
      </c>
      <c r="D61" s="33">
        <v>1193.945667</v>
      </c>
      <c r="E61" s="2">
        <v>1235.5763333333332</v>
      </c>
      <c r="F61" s="2">
        <v>530.40566666666666</v>
      </c>
      <c r="G61" s="2">
        <v>903.25233333333335</v>
      </c>
      <c r="H61" s="2">
        <f>+Puesto_desest_trim[[#This Row],[Puestos_sector_privado ]]+Puesto_desest_trim[[#This Row],[Puestos_sector_publico TRIMESTRAL]]</f>
        <v>9840.1683329999996</v>
      </c>
      <c r="J61" s="25">
        <v>3088.9160000000002</v>
      </c>
      <c r="K61" s="28" t="str">
        <f t="shared" ca="1" si="1"/>
        <v/>
      </c>
      <c r="M61">
        <v>3470.8683329999999</v>
      </c>
      <c r="N61" s="28"/>
      <c r="O61" s="30">
        <v>1263.3130000000001</v>
      </c>
      <c r="Q61" t="str">
        <f t="shared" ca="1" si="0"/>
        <v/>
      </c>
      <c r="R61">
        <v>1093.3630000000001</v>
      </c>
    </row>
    <row r="62" spans="1:18" ht="18" x14ac:dyDescent="0.35">
      <c r="A62" s="1">
        <v>45382</v>
      </c>
      <c r="B62" s="2">
        <v>6300.4333333333334</v>
      </c>
      <c r="C62" s="2">
        <v>3442.5283330000002</v>
      </c>
      <c r="D62" s="33">
        <v>1185.6873330000001</v>
      </c>
      <c r="E62" s="2">
        <v>1237.1130000000001</v>
      </c>
      <c r="F62" s="2">
        <v>526.87333333333333</v>
      </c>
      <c r="G62" s="2">
        <v>906.23866666666663</v>
      </c>
      <c r="H62" s="2">
        <f>+Puesto_desest_trim[[#This Row],[Puestos_sector_privado ]]+Puesto_desest_trim[[#This Row],[Puestos_sector_publico TRIMESTRAL]]</f>
        <v>9742.9616663333327</v>
      </c>
      <c r="J62" s="25">
        <v>3081.3539999999998</v>
      </c>
      <c r="K62" s="28">
        <f t="shared" ca="1" si="1"/>
        <v>3090.6256666666668</v>
      </c>
      <c r="M62">
        <v>3442.5283330000002</v>
      </c>
      <c r="N62" s="28"/>
      <c r="O62" s="30">
        <v>1263.037</v>
      </c>
      <c r="Q62">
        <f t="shared" ca="1" si="0"/>
        <v>1263.9439999999997</v>
      </c>
      <c r="R62">
        <v>1100.568</v>
      </c>
    </row>
    <row r="63" spans="1:18" ht="18" x14ac:dyDescent="0.35">
      <c r="A63" s="1">
        <v>45473</v>
      </c>
      <c r="B63" s="2">
        <v>6252</v>
      </c>
      <c r="C63" s="2">
        <v>3430.2356669999999</v>
      </c>
      <c r="D63" s="33">
        <v>1172.1103330000001</v>
      </c>
      <c r="E63" s="2">
        <v>1221.3639999999998</v>
      </c>
      <c r="F63" s="2">
        <v>518.95966666666675</v>
      </c>
      <c r="G63" s="2">
        <v>881.15</v>
      </c>
      <c r="H63" s="2">
        <f>+Puesto_desest_trim[[#This Row],[Puestos_sector_privado ]]+Puesto_desest_trim[[#This Row],[Puestos_sector_publico TRIMESTRAL]]</f>
        <v>9682.2356670000008</v>
      </c>
      <c r="J63" s="25">
        <v>3089.46</v>
      </c>
      <c r="K63" s="28" t="str">
        <f t="shared" ca="1" si="1"/>
        <v/>
      </c>
      <c r="M63">
        <v>3430.2356669999999</v>
      </c>
      <c r="N63" s="28"/>
      <c r="O63" s="30">
        <v>1263.6179999999999</v>
      </c>
      <c r="Q63" t="str">
        <f t="shared" ca="1" si="0"/>
        <v/>
      </c>
      <c r="R63">
        <v>1110.9076669999999</v>
      </c>
    </row>
    <row r="64" spans="1:18" ht="18" x14ac:dyDescent="0.35">
      <c r="A64" s="1">
        <v>45565</v>
      </c>
      <c r="B64" s="2">
        <v>6239.5</v>
      </c>
      <c r="C64" s="2">
        <v>3420.433</v>
      </c>
      <c r="D64" s="33">
        <v>1166.163333</v>
      </c>
      <c r="E64" s="2">
        <v>1228.2583333333332</v>
      </c>
      <c r="F64" s="2">
        <v>518.87699999999995</v>
      </c>
      <c r="G64" s="2">
        <v>875.56566666666674</v>
      </c>
      <c r="H64" s="2">
        <f>+Puesto_desest_trim[[#This Row],[Puestos_sector_privado ]]+Puesto_desest_trim[[#This Row],[Puestos_sector_publico TRIMESTRAL]]</f>
        <v>9659.9330000000009</v>
      </c>
      <c r="J64" s="25">
        <v>3101.0630000000001</v>
      </c>
      <c r="K64" s="28" t="str">
        <f t="shared" ca="1" si="1"/>
        <v/>
      </c>
      <c r="M64">
        <v>3420.433</v>
      </c>
      <c r="N64" s="28"/>
      <c r="O64" s="30">
        <v>1265.1769999999999</v>
      </c>
      <c r="Q64" t="str">
        <f t="shared" ca="1" si="0"/>
        <v/>
      </c>
      <c r="R64">
        <v>1114.0740000000001</v>
      </c>
    </row>
    <row r="65" spans="1:18" ht="18" x14ac:dyDescent="0.35">
      <c r="A65" s="1">
        <v>45657</v>
      </c>
      <c r="B65" s="2">
        <v>6254.2333333333336</v>
      </c>
      <c r="C65" s="2">
        <v>3418.5083330000002</v>
      </c>
      <c r="D65" s="33">
        <v>1168.5713330000001</v>
      </c>
      <c r="E65" s="2">
        <v>1248.684</v>
      </c>
      <c r="F65" s="2">
        <v>518.93966666666665</v>
      </c>
      <c r="G65" s="2">
        <v>890.30933333333326</v>
      </c>
      <c r="H65" s="2">
        <f>+Puesto_desest_trim[[#This Row],[Puestos_sector_privado ]]+Puesto_desest_trim[[#This Row],[Puestos_sector_publico TRIMESTRAL]]</f>
        <v>9672.7416663333333</v>
      </c>
      <c r="J65" s="25">
        <v>3101.9580000000001</v>
      </c>
      <c r="K65" s="28">
        <f t="shared" ca="1" si="1"/>
        <v>3104.7090000000003</v>
      </c>
      <c r="M65">
        <v>3418.5083330000002</v>
      </c>
      <c r="N65" s="28"/>
      <c r="O65" s="30">
        <v>1265.2449999999999</v>
      </c>
      <c r="Q65">
        <f t="shared" ca="1" si="0"/>
        <v>1265.098</v>
      </c>
      <c r="R65">
        <v>1122.6373329999999</v>
      </c>
    </row>
    <row r="66" spans="1:18" ht="18" x14ac:dyDescent="0.35">
      <c r="A66" s="1">
        <v>45747</v>
      </c>
      <c r="B66" s="2">
        <v>6255.7666666666664</v>
      </c>
      <c r="C66" s="2">
        <v>3411.9523330000002</v>
      </c>
      <c r="D66" s="33">
        <v>1166.277333</v>
      </c>
      <c r="E66" s="2">
        <v>1258.4653333333333</v>
      </c>
      <c r="F66" s="2">
        <v>517.18799999999999</v>
      </c>
      <c r="G66" s="2">
        <v>903.56066666666663</v>
      </c>
      <c r="H66" s="2">
        <f>+Puesto_desest_trim[[#This Row],[Puestos_sector_privado ]]+Puesto_desest_trim[[#This Row],[Puestos_sector_publico TRIMESTRAL]]</f>
        <v>9667.7189996666675</v>
      </c>
      <c r="J66" s="25">
        <v>3102.3490000000002</v>
      </c>
      <c r="K66" s="28" t="str">
        <f t="shared" ca="1" si="1"/>
        <v/>
      </c>
      <c r="M66">
        <v>3411.9523330000002</v>
      </c>
      <c r="N66" s="28"/>
      <c r="O66" s="30">
        <v>1265.4469999999999</v>
      </c>
      <c r="Q66" t="str">
        <f t="shared" ca="1" si="0"/>
        <v/>
      </c>
      <c r="R66">
        <v>1135.7829999999999</v>
      </c>
    </row>
    <row r="67" spans="1:18" ht="18" x14ac:dyDescent="0.35">
      <c r="A67" s="1">
        <v>45838</v>
      </c>
      <c r="B67" s="2">
        <v>6262.3999999999987</v>
      </c>
      <c r="C67" s="2">
        <v>3406.132333</v>
      </c>
      <c r="D67" s="33">
        <v>1160.009</v>
      </c>
      <c r="E67" s="2">
        <v>1250.2406666666666</v>
      </c>
      <c r="F67" s="2">
        <v>514.63099999999997</v>
      </c>
      <c r="G67" s="2">
        <v>891.43333333333339</v>
      </c>
      <c r="H67" s="2">
        <f>+Puesto_desest_trim[[#This Row],[Puestos_sector_privado ]]+Puesto_desest_trim[[#This Row],[Puestos_sector_publico TRIMESTRAL]]</f>
        <v>9668.5323329999992</v>
      </c>
      <c r="J67" s="25">
        <v>3109.82</v>
      </c>
      <c r="K67" s="28" t="str">
        <f t="shared" ca="1" si="1"/>
        <v/>
      </c>
      <c r="M67">
        <v>3406.132333</v>
      </c>
      <c r="N67" s="28"/>
      <c r="O67" s="30">
        <v>1264.6020000000001</v>
      </c>
      <c r="Q67" t="str">
        <f t="shared" ca="1" si="0"/>
        <v/>
      </c>
      <c r="R67">
        <v>1151.452</v>
      </c>
    </row>
    <row r="68" spans="1:18" ht="18" x14ac:dyDescent="0.35">
      <c r="A68" s="29"/>
      <c r="B68" s="2"/>
      <c r="C68" s="2"/>
      <c r="D68" s="33"/>
      <c r="E68" s="2"/>
      <c r="F68" s="2"/>
      <c r="G68" s="2"/>
      <c r="H68" s="2"/>
      <c r="J68" s="25">
        <v>3113.79</v>
      </c>
      <c r="K68" s="28">
        <f t="shared" ca="1" si="1"/>
        <v>3114.8139999999999</v>
      </c>
      <c r="M68">
        <v>3406.2553330000001</v>
      </c>
      <c r="N68" s="28"/>
      <c r="O68" s="30">
        <v>1265.297</v>
      </c>
      <c r="Q68">
        <f t="shared" ca="1" si="0"/>
        <v>1265.3720000000001</v>
      </c>
      <c r="R68">
        <v>1163.853333</v>
      </c>
    </row>
    <row r="69" spans="1:18" ht="18" x14ac:dyDescent="0.35">
      <c r="A69" s="29"/>
      <c r="B69" s="2"/>
      <c r="C69" s="2"/>
      <c r="D69" s="33"/>
      <c r="E69" s="2"/>
      <c r="F69" s="2"/>
      <c r="G69" s="2"/>
      <c r="H69" s="2"/>
      <c r="J69" s="25">
        <v>3115.0529999999999</v>
      </c>
      <c r="K69" s="28" t="str">
        <f t="shared" ca="1" si="1"/>
        <v/>
      </c>
      <c r="M69">
        <v>3399.5070000000001</v>
      </c>
      <c r="N69" s="28"/>
      <c r="O69" s="30">
        <v>1265.2360000000001</v>
      </c>
      <c r="Q69" t="str">
        <f t="shared" ca="1" si="0"/>
        <v/>
      </c>
      <c r="R69">
        <v>1172.4010000000001</v>
      </c>
    </row>
    <row r="70" spans="1:18" ht="18" x14ac:dyDescent="0.35">
      <c r="J70" s="25">
        <v>3115.5990000000002</v>
      </c>
      <c r="K70" s="28" t="str">
        <f t="shared" ca="1" si="1"/>
        <v/>
      </c>
      <c r="N70" s="28"/>
      <c r="O70" s="30">
        <v>1265.5830000000001</v>
      </c>
      <c r="Q70" t="str">
        <f t="shared" ca="1" si="0"/>
        <v/>
      </c>
      <c r="R70">
        <v>1181.143</v>
      </c>
    </row>
    <row r="71" spans="1:18" ht="18" x14ac:dyDescent="0.35">
      <c r="J71" s="25">
        <v>3112.7249999999999</v>
      </c>
      <c r="K71" s="28">
        <f t="shared" ca="1" si="1"/>
        <v>3117.0803333333333</v>
      </c>
      <c r="N71" s="28"/>
      <c r="O71" s="30">
        <v>1265.92</v>
      </c>
      <c r="Q71">
        <f t="shared" ca="1" si="0"/>
        <v>1265.3943333333334</v>
      </c>
      <c r="R71">
        <v>1190.2729999999999</v>
      </c>
    </row>
    <row r="72" spans="1:18" ht="18" x14ac:dyDescent="0.35">
      <c r="J72" s="25">
        <v>3117.7249999999999</v>
      </c>
      <c r="K72" s="28" t="str">
        <f t="shared" ca="1" si="1"/>
        <v/>
      </c>
      <c r="N72" s="28"/>
      <c r="O72" s="30">
        <v>1265.402</v>
      </c>
      <c r="Q72" t="str">
        <f t="shared" ca="1" si="0"/>
        <v/>
      </c>
      <c r="R72">
        <v>1196.894667</v>
      </c>
    </row>
    <row r="73" spans="1:18" ht="18" x14ac:dyDescent="0.35">
      <c r="J73" s="25">
        <v>3120.7910000000002</v>
      </c>
      <c r="K73" s="28" t="str">
        <f t="shared" ca="1" si="1"/>
        <v/>
      </c>
      <c r="N73" s="28"/>
      <c r="O73" s="30">
        <v>1264.8610000000001</v>
      </c>
      <c r="Q73" t="str">
        <f t="shared" ca="1" si="0"/>
        <v/>
      </c>
      <c r="R73">
        <v>1193.945667</v>
      </c>
    </row>
    <row r="74" spans="1:18" ht="18" x14ac:dyDescent="0.35">
      <c r="J74" s="25">
        <v>3123.067</v>
      </c>
      <c r="K74" s="28">
        <f t="shared" ca="1" si="1"/>
        <v>3123.9153333333329</v>
      </c>
      <c r="N74" s="28"/>
      <c r="O74" s="30">
        <v>1260.403</v>
      </c>
      <c r="Q74">
        <f t="shared" ca="1" si="0"/>
        <v>1257.2070000000001</v>
      </c>
      <c r="R74">
        <v>1185.6873330000001</v>
      </c>
    </row>
    <row r="75" spans="1:18" ht="18" x14ac:dyDescent="0.35">
      <c r="J75" s="25">
        <v>3123.5949999999998</v>
      </c>
      <c r="K75" s="28" t="str">
        <f t="shared" ca="1" si="1"/>
        <v/>
      </c>
      <c r="N75" s="28"/>
      <c r="O75" s="30">
        <v>1258.0139999999999</v>
      </c>
      <c r="Q75" t="str">
        <f t="shared" ca="1" si="0"/>
        <v/>
      </c>
      <c r="R75">
        <v>1172.1103330000001</v>
      </c>
    </row>
    <row r="76" spans="1:18" ht="18" x14ac:dyDescent="0.35">
      <c r="J76" s="25">
        <v>3125.0839999999998</v>
      </c>
      <c r="K76" s="28" t="str">
        <f t="shared" ca="1" si="1"/>
        <v/>
      </c>
      <c r="N76" s="28"/>
      <c r="O76" s="30">
        <v>1253.204</v>
      </c>
      <c r="Q76" t="str">
        <f t="shared" ca="1" si="0"/>
        <v/>
      </c>
      <c r="R76">
        <v>1166.163333</v>
      </c>
    </row>
    <row r="77" spans="1:18" ht="18" x14ac:dyDescent="0.35">
      <c r="J77" s="25">
        <v>3129.7689999999998</v>
      </c>
      <c r="K77" s="28">
        <f t="shared" ca="1" si="1"/>
        <v>3137.4753333333333</v>
      </c>
      <c r="N77" s="28"/>
      <c r="O77" s="30">
        <v>1252.2909999999999</v>
      </c>
      <c r="Q77">
        <f t="shared" ca="1" si="0"/>
        <v>1250.819</v>
      </c>
      <c r="R77">
        <v>1168.5713330000001</v>
      </c>
    </row>
    <row r="78" spans="1:18" ht="18" x14ac:dyDescent="0.35">
      <c r="J78" s="25">
        <v>3139.9549999999999</v>
      </c>
      <c r="K78" s="28" t="str">
        <f t="shared" ca="1" si="1"/>
        <v/>
      </c>
      <c r="N78" s="28"/>
      <c r="O78" s="30">
        <v>1250.5119999999999</v>
      </c>
      <c r="Q78" t="str">
        <f t="shared" ca="1" si="0"/>
        <v/>
      </c>
      <c r="R78">
        <v>1166.277333</v>
      </c>
    </row>
    <row r="79" spans="1:18" ht="18" x14ac:dyDescent="0.35">
      <c r="J79" s="25">
        <v>3142.7020000000002</v>
      </c>
      <c r="K79" s="28" t="str">
        <f t="shared" ca="1" si="1"/>
        <v/>
      </c>
      <c r="N79" s="28"/>
      <c r="O79" s="30">
        <v>1249.654</v>
      </c>
      <c r="Q79" t="str">
        <f t="shared" ref="Q79:Q142" ca="1" si="2">IF(MOD(ROW()-14,3)=0,AVERAGE(INDIRECT("O"&amp;ROW()&amp;":O"&amp;(ROW()+2))),"")</f>
        <v/>
      </c>
      <c r="R79">
        <v>1160.009</v>
      </c>
    </row>
    <row r="80" spans="1:18" ht="18" x14ac:dyDescent="0.35">
      <c r="J80" s="25">
        <v>3148.5520000000001</v>
      </c>
      <c r="K80" s="28">
        <f t="shared" ref="K80:K143" ca="1" si="3">IF(MOD(ROW()-14,3)=0,AVERAGE(INDIRECT("J"&amp;ROW()&amp;":J"&amp;(ROW()+2))),"")</f>
        <v>3152.2323333333334</v>
      </c>
      <c r="N80" s="28"/>
      <c r="O80" s="30">
        <v>1247.3869999999999</v>
      </c>
      <c r="Q80">
        <f t="shared" ca="1" si="2"/>
        <v>1245.9866666666667</v>
      </c>
      <c r="R80">
        <v>1149.4453329999999</v>
      </c>
    </row>
    <row r="81" spans="10:18" ht="18" x14ac:dyDescent="0.35">
      <c r="J81" s="25">
        <v>3149.5259999999998</v>
      </c>
      <c r="K81" s="28" t="str">
        <f t="shared" ca="1" si="3"/>
        <v/>
      </c>
      <c r="N81" s="28"/>
      <c r="O81" s="30">
        <v>1245.7190000000001</v>
      </c>
      <c r="Q81" t="str">
        <f t="shared" ca="1" si="2"/>
        <v/>
      </c>
      <c r="R81">
        <v>1133.528333</v>
      </c>
    </row>
    <row r="82" spans="10:18" ht="18" x14ac:dyDescent="0.35">
      <c r="J82" s="25">
        <v>3158.6190000000001</v>
      </c>
      <c r="K82" s="28" t="str">
        <f t="shared" ca="1" si="3"/>
        <v/>
      </c>
      <c r="N82" s="28"/>
      <c r="O82" s="30">
        <v>1244.854</v>
      </c>
      <c r="Q82" t="str">
        <f t="shared" ca="1" si="2"/>
        <v/>
      </c>
    </row>
    <row r="83" spans="10:18" ht="18" x14ac:dyDescent="0.35">
      <c r="J83" s="25">
        <v>3156.5909999999999</v>
      </c>
      <c r="K83" s="28">
        <f t="shared" ca="1" si="3"/>
        <v>3160.7233333333334</v>
      </c>
      <c r="N83" s="28"/>
      <c r="O83" s="30">
        <v>1244.0429999999999</v>
      </c>
      <c r="Q83">
        <f t="shared" ca="1" si="2"/>
        <v>1243.2916666666667</v>
      </c>
    </row>
    <row r="84" spans="10:18" ht="18" x14ac:dyDescent="0.35">
      <c r="J84" s="25">
        <v>3160.723</v>
      </c>
      <c r="K84" s="28" t="str">
        <f t="shared" ca="1" si="3"/>
        <v/>
      </c>
      <c r="N84" s="28"/>
      <c r="O84" s="30">
        <v>1243.1859999999999</v>
      </c>
      <c r="Q84" t="str">
        <f t="shared" ca="1" si="2"/>
        <v/>
      </c>
    </row>
    <row r="85" spans="10:18" ht="18" x14ac:dyDescent="0.35">
      <c r="J85" s="25">
        <v>3164.8560000000002</v>
      </c>
      <c r="K85" s="28" t="str">
        <f t="shared" ca="1" si="3"/>
        <v/>
      </c>
      <c r="N85" s="28"/>
      <c r="O85" s="30">
        <v>1242.646</v>
      </c>
      <c r="Q85" t="str">
        <f t="shared" ca="1" si="2"/>
        <v/>
      </c>
    </row>
    <row r="86" spans="10:18" ht="18" x14ac:dyDescent="0.35">
      <c r="J86" s="25">
        <v>3178.3580000000002</v>
      </c>
      <c r="K86" s="28">
        <f t="shared" ca="1" si="3"/>
        <v>3166.8989999999999</v>
      </c>
      <c r="N86" s="28"/>
      <c r="O86" s="30">
        <v>1243.4090000000001</v>
      </c>
      <c r="Q86">
        <f t="shared" ca="1" si="2"/>
        <v>1245.4393333333335</v>
      </c>
    </row>
    <row r="87" spans="10:18" ht="18" x14ac:dyDescent="0.35">
      <c r="J87" s="25">
        <v>3160.5309999999999</v>
      </c>
      <c r="K87" s="28" t="str">
        <f t="shared" ca="1" si="3"/>
        <v/>
      </c>
      <c r="N87" s="28"/>
      <c r="O87" s="30">
        <v>1246.498</v>
      </c>
      <c r="Q87" t="str">
        <f t="shared" ca="1" si="2"/>
        <v/>
      </c>
    </row>
    <row r="88" spans="10:18" ht="18" x14ac:dyDescent="0.35">
      <c r="J88" s="25">
        <v>3161.808</v>
      </c>
      <c r="K88" s="28" t="str">
        <f t="shared" ca="1" si="3"/>
        <v/>
      </c>
      <c r="N88" s="28"/>
      <c r="O88" s="30">
        <v>1246.4110000000001</v>
      </c>
      <c r="Q88" t="str">
        <f t="shared" ca="1" si="2"/>
        <v/>
      </c>
    </row>
    <row r="89" spans="10:18" ht="18" x14ac:dyDescent="0.35">
      <c r="J89" s="25">
        <v>3162.3670000000002</v>
      </c>
      <c r="K89" s="28">
        <f t="shared" ca="1" si="3"/>
        <v>3159.8303333333333</v>
      </c>
      <c r="N89" s="28"/>
      <c r="O89" s="30">
        <v>1251.838</v>
      </c>
      <c r="Q89">
        <f t="shared" ca="1" si="2"/>
        <v>1254.0493333333334</v>
      </c>
    </row>
    <row r="90" spans="10:18" ht="18" x14ac:dyDescent="0.35">
      <c r="J90" s="25">
        <v>3159.0680000000002</v>
      </c>
      <c r="K90" s="28" t="str">
        <f t="shared" ca="1" si="3"/>
        <v/>
      </c>
      <c r="N90" s="28"/>
      <c r="O90" s="30">
        <v>1254.7950000000001</v>
      </c>
      <c r="Q90" t="str">
        <f t="shared" ca="1" si="2"/>
        <v/>
      </c>
    </row>
    <row r="91" spans="10:18" ht="18" x14ac:dyDescent="0.35">
      <c r="J91" s="25">
        <v>3158.056</v>
      </c>
      <c r="K91" s="28" t="str">
        <f t="shared" ca="1" si="3"/>
        <v/>
      </c>
      <c r="N91" s="28"/>
      <c r="O91" s="30">
        <v>1255.5150000000001</v>
      </c>
      <c r="Q91" t="str">
        <f t="shared" ca="1" si="2"/>
        <v/>
      </c>
    </row>
    <row r="92" spans="10:18" ht="18" x14ac:dyDescent="0.35">
      <c r="J92" s="25">
        <v>3159.0149999999999</v>
      </c>
      <c r="K92" s="28">
        <f t="shared" ca="1" si="3"/>
        <v>3160.8206666666665</v>
      </c>
      <c r="N92" s="28"/>
      <c r="O92" s="30">
        <v>1256.431</v>
      </c>
      <c r="Q92">
        <f t="shared" ca="1" si="2"/>
        <v>1257.22</v>
      </c>
    </row>
    <row r="93" spans="10:18" ht="18" x14ac:dyDescent="0.35">
      <c r="J93" s="25">
        <v>3165.7420000000002</v>
      </c>
      <c r="K93" s="28" t="str">
        <f t="shared" ca="1" si="3"/>
        <v/>
      </c>
      <c r="N93" s="28"/>
      <c r="O93" s="30">
        <v>1256.9359999999999</v>
      </c>
      <c r="Q93" t="str">
        <f t="shared" ca="1" si="2"/>
        <v/>
      </c>
    </row>
    <row r="94" spans="10:18" ht="18" x14ac:dyDescent="0.35">
      <c r="J94" s="25">
        <v>3157.7049999999999</v>
      </c>
      <c r="K94" s="28" t="str">
        <f t="shared" ca="1" si="3"/>
        <v/>
      </c>
      <c r="N94" s="28"/>
      <c r="O94" s="30">
        <v>1258.2929999999999</v>
      </c>
      <c r="Q94" t="str">
        <f t="shared" ca="1" si="2"/>
        <v/>
      </c>
    </row>
    <row r="95" spans="10:18" ht="18" x14ac:dyDescent="0.35">
      <c r="J95" s="25">
        <v>3161.886</v>
      </c>
      <c r="K95" s="28">
        <f t="shared" ca="1" si="3"/>
        <v>3159.8340000000003</v>
      </c>
      <c r="N95" s="28"/>
      <c r="O95" s="30">
        <v>1257.3610000000001</v>
      </c>
      <c r="Q95">
        <f t="shared" ca="1" si="2"/>
        <v>1254.9216666666666</v>
      </c>
    </row>
    <row r="96" spans="10:18" ht="18" x14ac:dyDescent="0.35">
      <c r="J96" s="25">
        <v>3159.28</v>
      </c>
      <c r="K96" s="28" t="str">
        <f t="shared" ca="1" si="3"/>
        <v/>
      </c>
      <c r="N96" s="28"/>
      <c r="O96" s="30">
        <v>1255.3040000000001</v>
      </c>
      <c r="Q96" t="str">
        <f t="shared" ca="1" si="2"/>
        <v/>
      </c>
    </row>
    <row r="97" spans="10:17" ht="18" x14ac:dyDescent="0.35">
      <c r="J97" s="25">
        <v>3158.3359999999998</v>
      </c>
      <c r="K97" s="28" t="str">
        <f t="shared" ca="1" si="3"/>
        <v/>
      </c>
      <c r="N97" s="28"/>
      <c r="O97" s="30">
        <v>1252.0999999999999</v>
      </c>
      <c r="Q97" t="str">
        <f t="shared" ca="1" si="2"/>
        <v/>
      </c>
    </row>
    <row r="98" spans="10:17" ht="18" x14ac:dyDescent="0.35">
      <c r="J98" s="25">
        <v>3167.518</v>
      </c>
      <c r="K98" s="28">
        <f t="shared" ca="1" si="3"/>
        <v>3168.7406666666666</v>
      </c>
      <c r="N98" s="28"/>
      <c r="O98" s="30">
        <v>1246.5650000000001</v>
      </c>
      <c r="Q98">
        <f t="shared" ca="1" si="2"/>
        <v>1243.1793333333335</v>
      </c>
    </row>
    <row r="99" spans="10:17" ht="18" x14ac:dyDescent="0.35">
      <c r="J99" s="25">
        <v>3170.4589999999998</v>
      </c>
      <c r="K99" s="28" t="str">
        <f t="shared" ca="1" si="3"/>
        <v/>
      </c>
      <c r="N99" s="28"/>
      <c r="O99" s="30">
        <v>1244.0340000000001</v>
      </c>
      <c r="Q99" t="str">
        <f t="shared" ca="1" si="2"/>
        <v/>
      </c>
    </row>
    <row r="100" spans="10:17" ht="18" x14ac:dyDescent="0.35">
      <c r="J100" s="25">
        <v>3168.2449999999999</v>
      </c>
      <c r="K100" s="28" t="str">
        <f t="shared" ca="1" si="3"/>
        <v/>
      </c>
      <c r="N100" s="28"/>
      <c r="O100" s="30">
        <v>1238.9390000000001</v>
      </c>
      <c r="Q100" t="str">
        <f t="shared" ca="1" si="2"/>
        <v/>
      </c>
    </row>
    <row r="101" spans="10:17" ht="18" x14ac:dyDescent="0.35">
      <c r="J101" s="25">
        <v>3181.36</v>
      </c>
      <c r="K101" s="28">
        <f t="shared" ca="1" si="3"/>
        <v>3184.2413333333334</v>
      </c>
      <c r="N101" s="28"/>
      <c r="O101" s="30">
        <v>1236.5820000000001</v>
      </c>
      <c r="Q101">
        <f t="shared" ca="1" si="2"/>
        <v>1231.1553333333334</v>
      </c>
    </row>
    <row r="102" spans="10:17" ht="18" x14ac:dyDescent="0.35">
      <c r="J102" s="25">
        <v>3184.62</v>
      </c>
      <c r="K102" s="28" t="str">
        <f t="shared" ca="1" si="3"/>
        <v/>
      </c>
      <c r="N102" s="28"/>
      <c r="O102" s="30">
        <v>1229.913</v>
      </c>
      <c r="Q102" t="str">
        <f t="shared" ca="1" si="2"/>
        <v/>
      </c>
    </row>
    <row r="103" spans="10:17" ht="18" x14ac:dyDescent="0.35">
      <c r="J103" s="25">
        <v>3186.7440000000001</v>
      </c>
      <c r="K103" s="28" t="str">
        <f t="shared" ca="1" si="3"/>
        <v/>
      </c>
      <c r="N103" s="28"/>
      <c r="O103" s="30">
        <v>1226.971</v>
      </c>
      <c r="Q103" t="str">
        <f t="shared" ca="1" si="2"/>
        <v/>
      </c>
    </row>
    <row r="104" spans="10:17" ht="18" x14ac:dyDescent="0.35">
      <c r="J104" s="25">
        <v>3189.527</v>
      </c>
      <c r="K104" s="28">
        <f t="shared" ca="1" si="3"/>
        <v>3192.8216666666667</v>
      </c>
      <c r="N104" s="28"/>
      <c r="O104" s="30">
        <v>1223.4090000000001</v>
      </c>
      <c r="Q104">
        <f t="shared" ca="1" si="2"/>
        <v>1220.0163333333333</v>
      </c>
    </row>
    <row r="105" spans="10:17" ht="18" x14ac:dyDescent="0.35">
      <c r="J105" s="25">
        <v>3187.489</v>
      </c>
      <c r="K105" s="28" t="str">
        <f t="shared" ca="1" si="3"/>
        <v/>
      </c>
      <c r="N105" s="28"/>
      <c r="O105" s="30">
        <v>1219.9349999999999</v>
      </c>
      <c r="Q105" t="str">
        <f t="shared" ca="1" si="2"/>
        <v/>
      </c>
    </row>
    <row r="106" spans="10:17" ht="18" x14ac:dyDescent="0.35">
      <c r="J106" s="25">
        <v>3201.4490000000001</v>
      </c>
      <c r="K106" s="28" t="str">
        <f t="shared" ca="1" si="3"/>
        <v/>
      </c>
      <c r="N106" s="28"/>
      <c r="O106" s="30">
        <v>1216.7049999999999</v>
      </c>
      <c r="Q106" t="str">
        <f t="shared" ca="1" si="2"/>
        <v/>
      </c>
    </row>
    <row r="107" spans="10:17" ht="18" x14ac:dyDescent="0.35">
      <c r="J107" s="25">
        <v>3207.7710000000002</v>
      </c>
      <c r="K107" s="28">
        <f t="shared" ca="1" si="3"/>
        <v>3208.346</v>
      </c>
      <c r="N107" s="28"/>
      <c r="O107" s="30">
        <v>1213.414</v>
      </c>
      <c r="Q107">
        <f t="shared" ca="1" si="2"/>
        <v>1209.4390000000001</v>
      </c>
    </row>
    <row r="108" spans="10:17" ht="18" x14ac:dyDescent="0.35">
      <c r="J108" s="26">
        <v>3204.9609999999998</v>
      </c>
      <c r="K108" s="28" t="str">
        <f t="shared" ca="1" si="3"/>
        <v/>
      </c>
      <c r="N108" s="28"/>
      <c r="O108" s="30">
        <v>1208.45</v>
      </c>
      <c r="Q108" t="str">
        <f t="shared" ca="1" si="2"/>
        <v/>
      </c>
    </row>
    <row r="109" spans="10:17" ht="18" x14ac:dyDescent="0.35">
      <c r="J109" s="26">
        <v>3212.306</v>
      </c>
      <c r="K109" s="28" t="str">
        <f t="shared" ca="1" si="3"/>
        <v/>
      </c>
      <c r="N109" s="28"/>
      <c r="O109" s="30">
        <v>1206.453</v>
      </c>
      <c r="Q109" t="str">
        <f t="shared" ca="1" si="2"/>
        <v/>
      </c>
    </row>
    <row r="110" spans="10:17" ht="18" x14ac:dyDescent="0.35">
      <c r="J110" s="26">
        <v>3209.0889999999999</v>
      </c>
      <c r="K110" s="28">
        <f t="shared" ca="1" si="3"/>
        <v>3212.1869999999999</v>
      </c>
      <c r="N110" s="28"/>
      <c r="O110" s="30">
        <v>1204.7190000000001</v>
      </c>
      <c r="Q110">
        <f t="shared" ca="1" si="2"/>
        <v>1202.5940000000001</v>
      </c>
    </row>
    <row r="111" spans="10:17" ht="18" x14ac:dyDescent="0.35">
      <c r="J111" s="26">
        <v>3210.8049999999998</v>
      </c>
      <c r="K111" s="28" t="str">
        <f t="shared" ca="1" si="3"/>
        <v/>
      </c>
      <c r="N111" s="28"/>
      <c r="O111" s="30">
        <v>1201.8589999999999</v>
      </c>
      <c r="Q111" t="str">
        <f t="shared" ca="1" si="2"/>
        <v/>
      </c>
    </row>
    <row r="112" spans="10:17" ht="18" x14ac:dyDescent="0.35">
      <c r="J112" s="26">
        <v>3216.6669999999999</v>
      </c>
      <c r="K112" s="28" t="str">
        <f t="shared" ca="1" si="3"/>
        <v/>
      </c>
      <c r="N112" s="28"/>
      <c r="O112" s="30">
        <v>1201.204</v>
      </c>
      <c r="Q112" t="str">
        <f t="shared" ca="1" si="2"/>
        <v/>
      </c>
    </row>
    <row r="113" spans="10:17" ht="18" x14ac:dyDescent="0.35">
      <c r="J113" s="26">
        <v>3206.57</v>
      </c>
      <c r="K113" s="28">
        <f t="shared" ca="1" si="3"/>
        <v>3200.7063333333335</v>
      </c>
      <c r="N113" s="28"/>
      <c r="O113" s="30">
        <v>1199.0550000000001</v>
      </c>
      <c r="Q113">
        <f t="shared" ca="1" si="2"/>
        <v>1197.0113333333334</v>
      </c>
    </row>
    <row r="114" spans="10:17" ht="18" x14ac:dyDescent="0.35">
      <c r="J114" s="26">
        <v>3198.8290000000002</v>
      </c>
      <c r="K114" s="28" t="str">
        <f t="shared" ca="1" si="3"/>
        <v/>
      </c>
      <c r="N114" s="28"/>
      <c r="O114" s="30">
        <v>1196.731</v>
      </c>
      <c r="Q114" t="str">
        <f t="shared" ca="1" si="2"/>
        <v/>
      </c>
    </row>
    <row r="115" spans="10:17" ht="18" x14ac:dyDescent="0.35">
      <c r="J115" s="26">
        <v>3196.72</v>
      </c>
      <c r="K115" s="28" t="str">
        <f t="shared" ca="1" si="3"/>
        <v/>
      </c>
      <c r="N115" s="28"/>
      <c r="O115" s="30">
        <v>1195.248</v>
      </c>
      <c r="Q115" t="str">
        <f t="shared" ca="1" si="2"/>
        <v/>
      </c>
    </row>
    <row r="116" spans="10:17" ht="18" x14ac:dyDescent="0.35">
      <c r="J116" s="26">
        <v>3200.069</v>
      </c>
      <c r="K116" s="28">
        <f t="shared" ca="1" si="3"/>
        <v>3202.6496666666667</v>
      </c>
      <c r="N116" s="28"/>
      <c r="O116" s="30">
        <v>1193.837</v>
      </c>
      <c r="Q116">
        <f t="shared" ca="1" si="2"/>
        <v>1192.4203333333335</v>
      </c>
    </row>
    <row r="117" spans="10:17" ht="18" x14ac:dyDescent="0.35">
      <c r="J117" s="26">
        <v>3203.1019999999999</v>
      </c>
      <c r="K117" s="28" t="str">
        <f t="shared" ca="1" si="3"/>
        <v/>
      </c>
      <c r="N117" s="28"/>
      <c r="O117" s="30">
        <v>1192.454</v>
      </c>
      <c r="Q117" t="str">
        <f t="shared" ca="1" si="2"/>
        <v/>
      </c>
    </row>
    <row r="118" spans="10:17" ht="18" x14ac:dyDescent="0.35">
      <c r="J118" s="26">
        <v>3204.7779999999998</v>
      </c>
      <c r="K118" s="28" t="str">
        <f t="shared" ca="1" si="3"/>
        <v/>
      </c>
      <c r="N118" s="28"/>
      <c r="O118" s="30">
        <v>1190.97</v>
      </c>
      <c r="Q118" t="str">
        <f t="shared" ca="1" si="2"/>
        <v/>
      </c>
    </row>
    <row r="119" spans="10:17" ht="18" x14ac:dyDescent="0.35">
      <c r="J119" s="26">
        <v>3204.71</v>
      </c>
      <c r="K119" s="28">
        <f t="shared" ca="1" si="3"/>
        <v>3215.5946666666664</v>
      </c>
      <c r="N119" s="28"/>
      <c r="O119" s="30">
        <v>1191.9929999999999</v>
      </c>
      <c r="Q119">
        <f t="shared" ca="1" si="2"/>
        <v>1192.5736666666667</v>
      </c>
    </row>
    <row r="120" spans="10:17" ht="18" x14ac:dyDescent="0.35">
      <c r="J120" s="26">
        <v>3220.79</v>
      </c>
      <c r="K120" s="28" t="str">
        <f t="shared" ca="1" si="3"/>
        <v/>
      </c>
      <c r="N120" s="28"/>
      <c r="O120" s="30">
        <v>1193.114</v>
      </c>
      <c r="Q120" t="str">
        <f t="shared" ca="1" si="2"/>
        <v/>
      </c>
    </row>
    <row r="121" spans="10:17" ht="18" x14ac:dyDescent="0.35">
      <c r="J121" s="26">
        <v>3221.2840000000001</v>
      </c>
      <c r="K121" s="28" t="str">
        <f t="shared" ca="1" si="3"/>
        <v/>
      </c>
      <c r="N121" s="28"/>
      <c r="O121" s="30">
        <v>1192.614</v>
      </c>
      <c r="Q121" t="str">
        <f t="shared" ca="1" si="2"/>
        <v/>
      </c>
    </row>
    <row r="122" spans="10:17" ht="18" x14ac:dyDescent="0.35">
      <c r="J122" s="26">
        <v>3226.471</v>
      </c>
      <c r="K122" s="28">
        <f t="shared" ca="1" si="3"/>
        <v>3241.4609999999998</v>
      </c>
      <c r="N122" s="28"/>
      <c r="O122" s="30">
        <v>1190.1289999999999</v>
      </c>
      <c r="Q122">
        <f t="shared" ca="1" si="2"/>
        <v>1187.6120000000001</v>
      </c>
    </row>
    <row r="123" spans="10:17" ht="18" x14ac:dyDescent="0.35">
      <c r="J123" s="26">
        <v>3240.1579999999999</v>
      </c>
      <c r="K123" s="28" t="str">
        <f t="shared" ca="1" si="3"/>
        <v/>
      </c>
      <c r="N123" s="28"/>
      <c r="O123" s="30">
        <v>1187.6079999999999</v>
      </c>
      <c r="Q123" t="str">
        <f t="shared" ca="1" si="2"/>
        <v/>
      </c>
    </row>
    <row r="124" spans="10:17" ht="18" x14ac:dyDescent="0.35">
      <c r="J124" s="26">
        <v>3257.7539999999999</v>
      </c>
      <c r="K124" s="28" t="str">
        <f t="shared" ca="1" si="3"/>
        <v/>
      </c>
      <c r="N124" s="28"/>
      <c r="O124" s="30">
        <v>1185.0989999999999</v>
      </c>
      <c r="Q124" t="str">
        <f t="shared" ca="1" si="2"/>
        <v/>
      </c>
    </row>
    <row r="125" spans="10:17" ht="18" x14ac:dyDescent="0.35">
      <c r="J125" s="26">
        <v>3262.3980000000001</v>
      </c>
      <c r="K125" s="28">
        <f t="shared" ca="1" si="3"/>
        <v>3271.875</v>
      </c>
      <c r="N125" s="28"/>
      <c r="O125" s="30">
        <v>1182.162</v>
      </c>
      <c r="Q125">
        <f t="shared" ca="1" si="2"/>
        <v>1176.82</v>
      </c>
    </row>
    <row r="126" spans="10:17" ht="18" x14ac:dyDescent="0.35">
      <c r="J126" s="26">
        <v>3274.2489999999998</v>
      </c>
      <c r="K126" s="28" t="str">
        <f t="shared" ca="1" si="3"/>
        <v/>
      </c>
      <c r="N126" s="28"/>
      <c r="O126" s="30">
        <v>1177.7080000000001</v>
      </c>
      <c r="Q126" t="str">
        <f t="shared" ca="1" si="2"/>
        <v/>
      </c>
    </row>
    <row r="127" spans="10:17" ht="18" x14ac:dyDescent="0.35">
      <c r="J127" s="26">
        <v>3278.9780000000001</v>
      </c>
      <c r="K127" s="28" t="str">
        <f t="shared" ca="1" si="3"/>
        <v/>
      </c>
      <c r="N127" s="28"/>
      <c r="O127" s="30">
        <v>1170.5899999999999</v>
      </c>
      <c r="Q127" t="str">
        <f t="shared" ca="1" si="2"/>
        <v/>
      </c>
    </row>
    <row r="128" spans="10:17" ht="18" x14ac:dyDescent="0.35">
      <c r="J128" s="26">
        <v>3288.0889999999999</v>
      </c>
      <c r="K128" s="28">
        <f t="shared" ca="1" si="3"/>
        <v>3298.3163333333337</v>
      </c>
      <c r="N128" s="28"/>
      <c r="O128" s="30">
        <v>1164.8989999999999</v>
      </c>
      <c r="Q128">
        <f t="shared" ca="1" si="2"/>
        <v>1159.0046666666667</v>
      </c>
    </row>
    <row r="129" spans="10:17" ht="18" x14ac:dyDescent="0.35">
      <c r="J129" s="26">
        <v>3299.3240000000001</v>
      </c>
      <c r="K129" s="28" t="str">
        <f t="shared" ca="1" si="3"/>
        <v/>
      </c>
      <c r="N129" s="28"/>
      <c r="O129" s="30">
        <v>1160.123</v>
      </c>
      <c r="Q129" t="str">
        <f t="shared" ca="1" si="2"/>
        <v/>
      </c>
    </row>
    <row r="130" spans="10:17" ht="18" x14ac:dyDescent="0.35">
      <c r="J130" s="26">
        <v>3307.5360000000001</v>
      </c>
      <c r="K130" s="28" t="str">
        <f t="shared" ca="1" si="3"/>
        <v/>
      </c>
      <c r="N130" s="28"/>
      <c r="O130" s="30">
        <v>1151.992</v>
      </c>
      <c r="Q130" t="str">
        <f t="shared" ca="1" si="2"/>
        <v/>
      </c>
    </row>
    <row r="131" spans="10:17" ht="18" x14ac:dyDescent="0.35">
      <c r="J131" s="26">
        <v>3319.6170000000002</v>
      </c>
      <c r="K131" s="28">
        <f t="shared" ca="1" si="3"/>
        <v>3328.4736666666668</v>
      </c>
      <c r="N131" s="28"/>
      <c r="O131" s="30">
        <v>1144.7739999999999</v>
      </c>
      <c r="Q131">
        <f t="shared" ca="1" si="2"/>
        <v>1137.7986666666666</v>
      </c>
    </row>
    <row r="132" spans="10:17" ht="18" x14ac:dyDescent="0.35">
      <c r="J132" s="26">
        <v>3327.9569999999999</v>
      </c>
      <c r="K132" s="28" t="str">
        <f t="shared" ca="1" si="3"/>
        <v/>
      </c>
      <c r="N132" s="28"/>
      <c r="O132" s="30">
        <v>1135.482</v>
      </c>
      <c r="Q132" t="str">
        <f t="shared" ca="1" si="2"/>
        <v/>
      </c>
    </row>
    <row r="133" spans="10:17" ht="18" x14ac:dyDescent="0.35">
      <c r="J133" s="26">
        <v>3337.8470000000002</v>
      </c>
      <c r="K133" s="28" t="str">
        <f t="shared" ca="1" si="3"/>
        <v/>
      </c>
      <c r="N133" s="28"/>
      <c r="O133" s="30">
        <v>1133.1400000000001</v>
      </c>
      <c r="Q133" t="str">
        <f t="shared" ca="1" si="2"/>
        <v/>
      </c>
    </row>
    <row r="134" spans="10:17" ht="18" x14ac:dyDescent="0.35">
      <c r="J134" s="26">
        <v>3336.4229999999998</v>
      </c>
      <c r="K134" s="28">
        <f t="shared" ca="1" si="3"/>
        <v>3338.7973333333334</v>
      </c>
      <c r="N134" s="28"/>
      <c r="O134" s="30">
        <v>1129.1690000000001</v>
      </c>
      <c r="Q134">
        <f t="shared" ca="1" si="2"/>
        <v>1125.521</v>
      </c>
    </row>
    <row r="135" spans="10:17" ht="18" x14ac:dyDescent="0.35">
      <c r="J135" s="26">
        <v>3335.6219999999998</v>
      </c>
      <c r="K135" s="28" t="str">
        <f t="shared" ca="1" si="3"/>
        <v/>
      </c>
      <c r="N135" s="28"/>
      <c r="O135" s="30">
        <v>1127.106</v>
      </c>
      <c r="Q135" t="str">
        <f t="shared" ca="1" si="2"/>
        <v/>
      </c>
    </row>
    <row r="136" spans="10:17" ht="18" x14ac:dyDescent="0.35">
      <c r="J136" s="26">
        <v>3344.3470000000002</v>
      </c>
      <c r="K136" s="28" t="str">
        <f t="shared" ca="1" si="3"/>
        <v/>
      </c>
      <c r="N136" s="28"/>
      <c r="O136" s="30">
        <v>1120.288</v>
      </c>
      <c r="Q136" t="str">
        <f t="shared" ca="1" si="2"/>
        <v/>
      </c>
    </row>
    <row r="137" spans="10:17" ht="18" x14ac:dyDescent="0.35">
      <c r="J137" s="26">
        <v>3349.8380000000002</v>
      </c>
      <c r="K137" s="28">
        <f t="shared" ca="1" si="3"/>
        <v>3357.393</v>
      </c>
      <c r="N137" s="28"/>
      <c r="O137" s="30">
        <v>1116.1379999999999</v>
      </c>
      <c r="Q137">
        <f t="shared" ca="1" si="2"/>
        <v>1113.2456666666665</v>
      </c>
    </row>
    <row r="138" spans="10:17" ht="18" x14ac:dyDescent="0.35">
      <c r="J138" s="26">
        <v>3356.9259999999999</v>
      </c>
      <c r="K138" s="28" t="str">
        <f t="shared" ca="1" si="3"/>
        <v/>
      </c>
      <c r="N138" s="28"/>
      <c r="O138" s="30">
        <v>1113.2529999999999</v>
      </c>
      <c r="Q138" t="str">
        <f t="shared" ca="1" si="2"/>
        <v/>
      </c>
    </row>
    <row r="139" spans="10:17" ht="18" x14ac:dyDescent="0.35">
      <c r="J139" s="26">
        <v>3365.415</v>
      </c>
      <c r="K139" s="28" t="str">
        <f t="shared" ca="1" si="3"/>
        <v/>
      </c>
      <c r="N139" s="28"/>
      <c r="O139" s="30">
        <v>1110.346</v>
      </c>
      <c r="Q139" t="str">
        <f t="shared" ca="1" si="2"/>
        <v/>
      </c>
    </row>
    <row r="140" spans="10:17" ht="18" x14ac:dyDescent="0.35">
      <c r="J140" s="26">
        <v>3376</v>
      </c>
      <c r="K140" s="28">
        <f t="shared" ca="1" si="3"/>
        <v>3373.5610000000001</v>
      </c>
      <c r="N140" s="28"/>
      <c r="O140" s="30">
        <v>1107.925</v>
      </c>
      <c r="Q140">
        <f t="shared" ca="1" si="2"/>
        <v>1103.7863333333332</v>
      </c>
    </row>
    <row r="141" spans="10:17" ht="18" x14ac:dyDescent="0.35">
      <c r="J141" s="26">
        <v>3369.431</v>
      </c>
      <c r="K141" s="28" t="str">
        <f t="shared" ca="1" si="3"/>
        <v/>
      </c>
      <c r="N141" s="28"/>
      <c r="O141" s="30">
        <v>1104.998</v>
      </c>
      <c r="Q141" t="str">
        <f t="shared" ca="1" si="2"/>
        <v/>
      </c>
    </row>
    <row r="142" spans="10:17" ht="18" x14ac:dyDescent="0.35">
      <c r="J142" s="26">
        <v>3375.252</v>
      </c>
      <c r="K142" s="28" t="str">
        <f t="shared" ca="1" si="3"/>
        <v/>
      </c>
      <c r="N142" s="28"/>
      <c r="O142" s="30">
        <v>1098.4359999999999</v>
      </c>
      <c r="Q142" t="str">
        <f t="shared" ca="1" si="2"/>
        <v/>
      </c>
    </row>
    <row r="143" spans="10:17" ht="18" x14ac:dyDescent="0.35">
      <c r="J143" s="26">
        <v>3378.3380000000002</v>
      </c>
      <c r="K143" s="28">
        <f t="shared" ca="1" si="3"/>
        <v>3385.3013333333333</v>
      </c>
      <c r="N143" s="28"/>
      <c r="O143" s="30">
        <v>1093.568</v>
      </c>
      <c r="Q143">
        <f t="shared" ref="Q143:Q206" ca="1" si="4">IF(MOD(ROW()-14,3)=0,AVERAGE(INDIRECT("O"&amp;ROW()&amp;":O"&amp;(ROW()+2))),"")</f>
        <v>1088.6886666666667</v>
      </c>
    </row>
    <row r="144" spans="10:17" ht="18" x14ac:dyDescent="0.35">
      <c r="J144" s="26">
        <v>3388.4360000000001</v>
      </c>
      <c r="K144" s="28" t="str">
        <f t="shared" ref="K144:K181" ca="1" si="5">IF(MOD(ROW()-14,3)=0,AVERAGE(INDIRECT("J"&amp;ROW()&amp;":J"&amp;(ROW()+2))),"")</f>
        <v/>
      </c>
      <c r="N144" s="28"/>
      <c r="O144" s="31">
        <v>1087.577</v>
      </c>
      <c r="Q144" t="str">
        <f t="shared" ca="1" si="4"/>
        <v/>
      </c>
    </row>
    <row r="145" spans="10:17" ht="18" x14ac:dyDescent="0.35">
      <c r="J145" s="26">
        <v>3389.13</v>
      </c>
      <c r="K145" s="28" t="str">
        <f t="shared" ca="1" si="5"/>
        <v/>
      </c>
      <c r="N145" s="28"/>
      <c r="O145" s="31">
        <v>1084.921</v>
      </c>
      <c r="Q145" t="str">
        <f t="shared" ca="1" si="4"/>
        <v/>
      </c>
    </row>
    <row r="146" spans="10:17" ht="18" x14ac:dyDescent="0.35">
      <c r="J146" s="26">
        <v>3398.8409999999999</v>
      </c>
      <c r="K146" s="28">
        <f t="shared" ca="1" si="5"/>
        <v>3409.86</v>
      </c>
      <c r="N146" s="28"/>
      <c r="O146" s="31">
        <v>1084.72</v>
      </c>
      <c r="Q146">
        <f t="shared" ca="1" si="4"/>
        <v>1084.4616666666668</v>
      </c>
    </row>
    <row r="147" spans="10:17" ht="18" x14ac:dyDescent="0.35">
      <c r="J147" s="26">
        <v>3412.136</v>
      </c>
      <c r="K147" s="28" t="str">
        <f t="shared" ca="1" si="5"/>
        <v/>
      </c>
      <c r="N147" s="28"/>
      <c r="O147" s="31">
        <v>1086.095</v>
      </c>
      <c r="Q147" t="str">
        <f t="shared" ca="1" si="4"/>
        <v/>
      </c>
    </row>
    <row r="148" spans="10:17" ht="18" x14ac:dyDescent="0.35">
      <c r="J148" s="26">
        <v>3418.6030000000001</v>
      </c>
      <c r="K148" s="28" t="str">
        <f t="shared" ca="1" si="5"/>
        <v/>
      </c>
      <c r="N148" s="28"/>
      <c r="O148" s="31">
        <v>1082.57</v>
      </c>
      <c r="Q148" t="str">
        <f t="shared" ca="1" si="4"/>
        <v/>
      </c>
    </row>
    <row r="149" spans="10:17" ht="18" x14ac:dyDescent="0.35">
      <c r="J149" s="26">
        <v>3428.4189999999999</v>
      </c>
      <c r="K149" s="28">
        <f t="shared" ca="1" si="5"/>
        <v>3440.173666666667</v>
      </c>
      <c r="N149" s="28"/>
      <c r="O149" s="31">
        <v>1077.0899999999999</v>
      </c>
      <c r="Q149">
        <f t="shared" ca="1" si="4"/>
        <v>1076.7213333333332</v>
      </c>
    </row>
    <row r="150" spans="10:17" ht="18" x14ac:dyDescent="0.35">
      <c r="J150" s="26">
        <v>3441.6109999999999</v>
      </c>
      <c r="K150" s="28" t="str">
        <f t="shared" ca="1" si="5"/>
        <v/>
      </c>
      <c r="N150" s="28"/>
      <c r="O150" s="31">
        <v>1075.7840000000001</v>
      </c>
      <c r="Q150" t="str">
        <f t="shared" ca="1" si="4"/>
        <v/>
      </c>
    </row>
    <row r="151" spans="10:17" ht="18" x14ac:dyDescent="0.35">
      <c r="J151" s="26">
        <v>3450.491</v>
      </c>
      <c r="K151" s="28" t="str">
        <f t="shared" ca="1" si="5"/>
        <v/>
      </c>
      <c r="N151" s="28"/>
      <c r="O151" s="31">
        <v>1077.29</v>
      </c>
      <c r="Q151" t="str">
        <f t="shared" ca="1" si="4"/>
        <v/>
      </c>
    </row>
    <row r="152" spans="10:17" ht="18" x14ac:dyDescent="0.35">
      <c r="J152" s="26">
        <v>3457.9140000000002</v>
      </c>
      <c r="K152" s="28">
        <f t="shared" ca="1" si="5"/>
        <v>3464.2039999999997</v>
      </c>
      <c r="N152" s="28"/>
      <c r="O152" s="31">
        <v>1079.4749999999999</v>
      </c>
      <c r="Q152">
        <f t="shared" ca="1" si="4"/>
        <v>1083.136</v>
      </c>
    </row>
    <row r="153" spans="10:17" ht="18" x14ac:dyDescent="0.35">
      <c r="J153" s="26">
        <v>3467.8429999999998</v>
      </c>
      <c r="K153" s="28" t="str">
        <f t="shared" ca="1" si="5"/>
        <v/>
      </c>
      <c r="N153" s="28"/>
      <c r="O153" s="31">
        <v>1082.8150000000001</v>
      </c>
      <c r="Q153" t="str">
        <f t="shared" ca="1" si="4"/>
        <v/>
      </c>
    </row>
    <row r="154" spans="10:17" ht="18" x14ac:dyDescent="0.35">
      <c r="J154" s="26">
        <v>3466.855</v>
      </c>
      <c r="K154" s="28" t="str">
        <f t="shared" ca="1" si="5"/>
        <v/>
      </c>
      <c r="N154" s="28"/>
      <c r="O154" s="31">
        <v>1087.1179999999999</v>
      </c>
      <c r="Q154" t="str">
        <f t="shared" ca="1" si="4"/>
        <v/>
      </c>
    </row>
    <row r="155" spans="10:17" ht="18" x14ac:dyDescent="0.35">
      <c r="J155" s="26">
        <v>3468.48</v>
      </c>
      <c r="K155" s="28">
        <f t="shared" ca="1" si="5"/>
        <v>3470.8683333333333</v>
      </c>
      <c r="N155" s="28"/>
      <c r="O155" s="31">
        <v>1091.287</v>
      </c>
      <c r="Q155">
        <f t="shared" ca="1" si="4"/>
        <v>1093.3630000000001</v>
      </c>
    </row>
    <row r="156" spans="10:17" ht="18" x14ac:dyDescent="0.35">
      <c r="J156" s="26">
        <v>3467.9270000000001</v>
      </c>
      <c r="K156" s="28" t="str">
        <f t="shared" ca="1" si="5"/>
        <v/>
      </c>
      <c r="N156" s="28"/>
      <c r="O156" s="31">
        <v>1093.952</v>
      </c>
      <c r="Q156" t="str">
        <f t="shared" ca="1" si="4"/>
        <v/>
      </c>
    </row>
    <row r="157" spans="10:17" ht="18" x14ac:dyDescent="0.35">
      <c r="J157" s="26">
        <v>3476.1979999999999</v>
      </c>
      <c r="K157" s="28" t="str">
        <f t="shared" ca="1" si="5"/>
        <v/>
      </c>
      <c r="N157" s="28"/>
      <c r="O157" s="31">
        <v>1094.8499999999999</v>
      </c>
      <c r="Q157" t="str">
        <f t="shared" ca="1" si="4"/>
        <v/>
      </c>
    </row>
    <row r="158" spans="10:17" ht="18" x14ac:dyDescent="0.35">
      <c r="J158" s="26">
        <v>3441.748</v>
      </c>
      <c r="K158" s="28">
        <f t="shared" ca="1" si="5"/>
        <v>3442.5283333333336</v>
      </c>
      <c r="N158" s="28"/>
      <c r="O158" s="31">
        <v>1097.0740000000001</v>
      </c>
      <c r="Q158">
        <f t="shared" ca="1" si="4"/>
        <v>1100.568</v>
      </c>
    </row>
    <row r="159" spans="10:17" ht="18" x14ac:dyDescent="0.35">
      <c r="J159" s="26">
        <v>3444.2979999999998</v>
      </c>
      <c r="K159" s="28" t="str">
        <f t="shared" ca="1" si="5"/>
        <v/>
      </c>
      <c r="N159" s="28"/>
      <c r="O159" s="31">
        <v>1100.3119999999999</v>
      </c>
      <c r="Q159" t="str">
        <f t="shared" ca="1" si="4"/>
        <v/>
      </c>
    </row>
    <row r="160" spans="10:17" ht="18" x14ac:dyDescent="0.35">
      <c r="J160" s="26">
        <v>3441.5390000000002</v>
      </c>
      <c r="K160" s="28" t="str">
        <f t="shared" ca="1" si="5"/>
        <v/>
      </c>
      <c r="N160" s="28"/>
      <c r="O160" s="31">
        <v>1104.318</v>
      </c>
      <c r="Q160" t="str">
        <f t="shared" ca="1" si="4"/>
        <v/>
      </c>
    </row>
    <row r="161" spans="10:17" ht="18" x14ac:dyDescent="0.35">
      <c r="J161" s="26">
        <v>3436.7170000000001</v>
      </c>
      <c r="K161" s="28">
        <f t="shared" ca="1" si="5"/>
        <v>3430.2356666666669</v>
      </c>
      <c r="N161" s="28"/>
      <c r="O161" s="31">
        <v>1109.607</v>
      </c>
      <c r="Q161">
        <f t="shared" ca="1" si="4"/>
        <v>1110.9076666666667</v>
      </c>
    </row>
    <row r="162" spans="10:17" ht="18" x14ac:dyDescent="0.35">
      <c r="J162" s="26">
        <v>3428.9160000000002</v>
      </c>
      <c r="K162" s="28" t="str">
        <f t="shared" ca="1" si="5"/>
        <v/>
      </c>
      <c r="N162" s="28"/>
      <c r="O162" s="31">
        <v>1110.979</v>
      </c>
      <c r="Q162" t="str">
        <f t="shared" ca="1" si="4"/>
        <v/>
      </c>
    </row>
    <row r="163" spans="10:17" ht="18" x14ac:dyDescent="0.35">
      <c r="J163" s="26">
        <v>3425.0740000000001</v>
      </c>
      <c r="K163" s="28" t="str">
        <f t="shared" ca="1" si="5"/>
        <v/>
      </c>
      <c r="N163" s="28"/>
      <c r="O163" s="31">
        <v>1112.1369999999999</v>
      </c>
      <c r="Q163" t="str">
        <f t="shared" ca="1" si="4"/>
        <v/>
      </c>
    </row>
    <row r="164" spans="10:17" ht="18" x14ac:dyDescent="0.35">
      <c r="J164" s="26">
        <v>3421.97</v>
      </c>
      <c r="K164" s="28">
        <f t="shared" ca="1" si="5"/>
        <v>3420.4330000000004</v>
      </c>
      <c r="N164" s="28"/>
      <c r="O164" s="31">
        <v>1111.9169999999999</v>
      </c>
      <c r="Q164">
        <f t="shared" ca="1" si="4"/>
        <v>1114.0739999999998</v>
      </c>
    </row>
    <row r="165" spans="10:17" ht="18" x14ac:dyDescent="0.35">
      <c r="J165" s="26">
        <v>3419.7280000000001</v>
      </c>
      <c r="K165" s="28" t="str">
        <f t="shared" ca="1" si="5"/>
        <v/>
      </c>
      <c r="N165" s="28"/>
      <c r="O165" s="31">
        <v>1113.4380000000001</v>
      </c>
      <c r="Q165" t="str">
        <f t="shared" ca="1" si="4"/>
        <v/>
      </c>
    </row>
    <row r="166" spans="10:17" ht="18" x14ac:dyDescent="0.35">
      <c r="J166" s="26">
        <v>3419.6010000000001</v>
      </c>
      <c r="K166" s="28" t="str">
        <f t="shared" ca="1" si="5"/>
        <v/>
      </c>
      <c r="N166" s="28"/>
      <c r="O166" s="31">
        <v>1116.867</v>
      </c>
      <c r="Q166" t="str">
        <f t="shared" ca="1" si="4"/>
        <v/>
      </c>
    </row>
    <row r="167" spans="10:17" ht="18" x14ac:dyDescent="0.35">
      <c r="J167" s="26">
        <v>3421.2040000000002</v>
      </c>
      <c r="K167" s="28">
        <f t="shared" ca="1" si="5"/>
        <v>3418.5083333333337</v>
      </c>
      <c r="N167" s="28"/>
      <c r="O167" s="31">
        <v>1118.002</v>
      </c>
      <c r="Q167">
        <f t="shared" ca="1" si="4"/>
        <v>1122.6373333333333</v>
      </c>
    </row>
    <row r="168" spans="10:17" ht="18" x14ac:dyDescent="0.35">
      <c r="J168" s="26">
        <v>3418.6550000000002</v>
      </c>
      <c r="K168" s="28" t="str">
        <f t="shared" ca="1" si="5"/>
        <v/>
      </c>
      <c r="N168" s="28"/>
      <c r="O168" s="31">
        <v>1122.213</v>
      </c>
      <c r="Q168" t="str">
        <f t="shared" ca="1" si="4"/>
        <v/>
      </c>
    </row>
    <row r="169" spans="10:17" ht="18" x14ac:dyDescent="0.35">
      <c r="J169" s="26">
        <v>3415.6660000000002</v>
      </c>
      <c r="K169" s="28" t="str">
        <f t="shared" ca="1" si="5"/>
        <v/>
      </c>
      <c r="N169" s="28"/>
      <c r="O169" s="31">
        <v>1127.6969999999999</v>
      </c>
      <c r="Q169" t="str">
        <f t="shared" ca="1" si="4"/>
        <v/>
      </c>
    </row>
    <row r="170" spans="10:17" ht="18" x14ac:dyDescent="0.35">
      <c r="J170" s="26">
        <v>3417.3589999999999</v>
      </c>
      <c r="K170" s="28">
        <f t="shared" ca="1" si="5"/>
        <v>3411.9523333333332</v>
      </c>
      <c r="N170" s="28"/>
      <c r="O170" s="31">
        <v>1132.4690000000001</v>
      </c>
      <c r="Q170">
        <f t="shared" ca="1" si="4"/>
        <v>1135.7829999999999</v>
      </c>
    </row>
    <row r="171" spans="10:17" ht="18" x14ac:dyDescent="0.35">
      <c r="J171" s="26">
        <v>3409.21</v>
      </c>
      <c r="K171" s="28" t="str">
        <f t="shared" ca="1" si="5"/>
        <v/>
      </c>
      <c r="N171" s="28"/>
      <c r="O171" s="31">
        <v>1134.972</v>
      </c>
      <c r="Q171" t="str">
        <f t="shared" ca="1" si="4"/>
        <v/>
      </c>
    </row>
    <row r="172" spans="10:17" ht="18" x14ac:dyDescent="0.35">
      <c r="J172" s="26">
        <v>3409.288</v>
      </c>
      <c r="K172" s="28" t="str">
        <f t="shared" ca="1" si="5"/>
        <v/>
      </c>
      <c r="N172" s="28"/>
      <c r="O172" s="31">
        <v>1139.9079999999999</v>
      </c>
      <c r="Q172" t="str">
        <f t="shared" ca="1" si="4"/>
        <v/>
      </c>
    </row>
    <row r="173" spans="10:17" ht="18" x14ac:dyDescent="0.35">
      <c r="J173" s="26">
        <v>3408.3969999999999</v>
      </c>
      <c r="K173" s="28">
        <f t="shared" ca="1" si="5"/>
        <v>3406.1323333333335</v>
      </c>
      <c r="N173" s="28"/>
      <c r="O173" s="31">
        <v>1145.789</v>
      </c>
      <c r="Q173">
        <f t="shared" ca="1" si="4"/>
        <v>1151.452</v>
      </c>
    </row>
    <row r="174" spans="10:17" ht="18" x14ac:dyDescent="0.35">
      <c r="J174" s="26">
        <v>3401.42</v>
      </c>
      <c r="K174" s="28" t="str">
        <f t="shared" ca="1" si="5"/>
        <v/>
      </c>
      <c r="N174" s="28"/>
      <c r="O174" s="31">
        <v>1151.4369999999999</v>
      </c>
      <c r="Q174" t="str">
        <f t="shared" ca="1" si="4"/>
        <v/>
      </c>
    </row>
    <row r="175" spans="10:17" ht="18" x14ac:dyDescent="0.35">
      <c r="J175" s="26">
        <v>3408.58</v>
      </c>
      <c r="K175" s="28" t="str">
        <f t="shared" ca="1" si="5"/>
        <v/>
      </c>
      <c r="N175" s="28"/>
      <c r="O175" s="31">
        <v>1157.1300000000001</v>
      </c>
      <c r="Q175" t="str">
        <f t="shared" ca="1" si="4"/>
        <v/>
      </c>
    </row>
    <row r="176" spans="10:17" ht="18" x14ac:dyDescent="0.35">
      <c r="J176" s="26">
        <v>3406.8220000000001</v>
      </c>
      <c r="K176" s="28">
        <f t="shared" ca="1" si="5"/>
        <v>3406.2553333333331</v>
      </c>
      <c r="N176" s="28"/>
      <c r="O176" s="31">
        <v>1162.5809999999999</v>
      </c>
      <c r="Q176">
        <f t="shared" ca="1" si="4"/>
        <v>1163.8533333333332</v>
      </c>
    </row>
    <row r="177" spans="10:17" ht="18" x14ac:dyDescent="0.35">
      <c r="J177" s="26">
        <v>3404.4360000000001</v>
      </c>
      <c r="K177" s="28" t="str">
        <f t="shared" ca="1" si="5"/>
        <v/>
      </c>
      <c r="N177" s="28"/>
      <c r="O177" s="31">
        <v>1163.0609999999999</v>
      </c>
      <c r="Q177" t="str">
        <f t="shared" ca="1" si="4"/>
        <v/>
      </c>
    </row>
    <row r="178" spans="10:17" ht="18" x14ac:dyDescent="0.35">
      <c r="J178" s="26">
        <v>3407.5079999999998</v>
      </c>
      <c r="K178" s="28" t="str">
        <f t="shared" ca="1" si="5"/>
        <v/>
      </c>
      <c r="N178" s="28"/>
      <c r="O178" s="31">
        <v>1165.9179999999999</v>
      </c>
      <c r="Q178" t="str">
        <f t="shared" ca="1" si="4"/>
        <v/>
      </c>
    </row>
    <row r="179" spans="10:17" ht="18" x14ac:dyDescent="0.35">
      <c r="J179" s="26">
        <v>3402.8159999999998</v>
      </c>
      <c r="K179" s="28">
        <f t="shared" ca="1" si="5"/>
        <v>3399.5070000000001</v>
      </c>
      <c r="N179" s="28"/>
      <c r="O179" s="31">
        <v>1169.4739999999999</v>
      </c>
      <c r="Q179">
        <f t="shared" ca="1" si="4"/>
        <v>1172.4010000000001</v>
      </c>
    </row>
    <row r="180" spans="10:17" ht="18" x14ac:dyDescent="0.35">
      <c r="J180" s="26">
        <v>3398.1239999999998</v>
      </c>
      <c r="K180" s="28" t="str">
        <f t="shared" ca="1" si="5"/>
        <v/>
      </c>
      <c r="N180" s="28"/>
      <c r="O180" s="31">
        <v>1172.394</v>
      </c>
      <c r="Q180" t="str">
        <f t="shared" ca="1" si="4"/>
        <v/>
      </c>
    </row>
    <row r="181" spans="10:17" ht="18" x14ac:dyDescent="0.35">
      <c r="J181" s="27">
        <v>3397.5810000000001</v>
      </c>
      <c r="K181" s="28" t="str">
        <f t="shared" ca="1" si="5"/>
        <v/>
      </c>
      <c r="N181" s="28"/>
      <c r="O181" s="31">
        <v>1175.335</v>
      </c>
      <c r="Q181" t="str">
        <f t="shared" ca="1" si="4"/>
        <v/>
      </c>
    </row>
    <row r="182" spans="10:17" ht="18" x14ac:dyDescent="0.35">
      <c r="O182" s="31">
        <v>1178.193</v>
      </c>
      <c r="Q182">
        <f t="shared" ca="1" si="4"/>
        <v>1181.143</v>
      </c>
    </row>
    <row r="183" spans="10:17" ht="18" x14ac:dyDescent="0.35">
      <c r="O183" s="31">
        <v>1181.1279999999999</v>
      </c>
      <c r="Q183" t="str">
        <f t="shared" ca="1" si="4"/>
        <v/>
      </c>
    </row>
    <row r="184" spans="10:17" ht="18" x14ac:dyDescent="0.35">
      <c r="O184" s="31">
        <v>1184.1079999999999</v>
      </c>
      <c r="Q184" t="str">
        <f t="shared" ca="1" si="4"/>
        <v/>
      </c>
    </row>
    <row r="185" spans="10:17" ht="18" x14ac:dyDescent="0.35">
      <c r="O185" s="31">
        <v>1187.6120000000001</v>
      </c>
      <c r="Q185">
        <f t="shared" ca="1" si="4"/>
        <v>1190.2730000000001</v>
      </c>
    </row>
    <row r="186" spans="10:17" ht="18" x14ac:dyDescent="0.35">
      <c r="O186" s="31">
        <v>1190.259</v>
      </c>
      <c r="Q186" t="str">
        <f t="shared" ca="1" si="4"/>
        <v/>
      </c>
    </row>
    <row r="187" spans="10:17" ht="18" x14ac:dyDescent="0.35">
      <c r="O187" s="31">
        <v>1192.9480000000001</v>
      </c>
      <c r="Q187" t="str">
        <f t="shared" ca="1" si="4"/>
        <v/>
      </c>
    </row>
    <row r="188" spans="10:17" ht="18" x14ac:dyDescent="0.35">
      <c r="O188" s="31">
        <v>1196.8040000000001</v>
      </c>
      <c r="Q188">
        <f t="shared" ca="1" si="4"/>
        <v>1196.8946666666666</v>
      </c>
    </row>
    <row r="189" spans="10:17" ht="18" x14ac:dyDescent="0.35">
      <c r="O189" s="31">
        <v>1197.82</v>
      </c>
      <c r="Q189" t="str">
        <f t="shared" ca="1" si="4"/>
        <v/>
      </c>
    </row>
    <row r="190" spans="10:17" ht="18" x14ac:dyDescent="0.35">
      <c r="O190" s="31">
        <v>1196.06</v>
      </c>
      <c r="Q190" t="str">
        <f t="shared" ca="1" si="4"/>
        <v/>
      </c>
    </row>
    <row r="191" spans="10:17" ht="18" x14ac:dyDescent="0.35">
      <c r="O191" s="31">
        <v>1195.932</v>
      </c>
      <c r="Q191">
        <f t="shared" ca="1" si="4"/>
        <v>1193.9456666666667</v>
      </c>
    </row>
    <row r="192" spans="10:17" ht="18" x14ac:dyDescent="0.35">
      <c r="O192" s="31">
        <v>1193.72</v>
      </c>
      <c r="Q192" t="str">
        <f t="shared" ca="1" si="4"/>
        <v/>
      </c>
    </row>
    <row r="193" spans="15:17" ht="18" x14ac:dyDescent="0.35">
      <c r="O193" s="31">
        <v>1192.1849999999999</v>
      </c>
      <c r="Q193" t="str">
        <f t="shared" ca="1" si="4"/>
        <v/>
      </c>
    </row>
    <row r="194" spans="15:17" ht="18" x14ac:dyDescent="0.35">
      <c r="O194" s="31">
        <v>1188.961</v>
      </c>
      <c r="Q194">
        <f t="shared" ca="1" si="4"/>
        <v>1185.6873333333333</v>
      </c>
    </row>
    <row r="195" spans="15:17" ht="18" x14ac:dyDescent="0.35">
      <c r="O195" s="31">
        <v>1186.348</v>
      </c>
      <c r="Q195" t="str">
        <f t="shared" ca="1" si="4"/>
        <v/>
      </c>
    </row>
    <row r="196" spans="15:17" ht="18" x14ac:dyDescent="0.35">
      <c r="O196" s="31">
        <v>1181.7529999999999</v>
      </c>
      <c r="Q196" t="str">
        <f t="shared" ca="1" si="4"/>
        <v/>
      </c>
    </row>
    <row r="197" spans="15:17" ht="18" x14ac:dyDescent="0.35">
      <c r="O197" s="31">
        <v>1176.7619999999999</v>
      </c>
      <c r="Q197">
        <f t="shared" ca="1" si="4"/>
        <v>1172.1103333333333</v>
      </c>
    </row>
    <row r="198" spans="15:17" ht="18" x14ac:dyDescent="0.35">
      <c r="O198" s="31">
        <v>1171.8910000000001</v>
      </c>
      <c r="Q198" t="str">
        <f t="shared" ca="1" si="4"/>
        <v/>
      </c>
    </row>
    <row r="199" spans="15:17" ht="18" x14ac:dyDescent="0.35">
      <c r="O199" s="31">
        <v>1167.6780000000001</v>
      </c>
      <c r="Q199" t="str">
        <f t="shared" ca="1" si="4"/>
        <v/>
      </c>
    </row>
    <row r="200" spans="15:17" ht="18" x14ac:dyDescent="0.35">
      <c r="O200" s="31">
        <v>1165.721</v>
      </c>
      <c r="Q200">
        <f t="shared" ca="1" si="4"/>
        <v>1166.1633333333332</v>
      </c>
    </row>
    <row r="201" spans="15:17" ht="18" x14ac:dyDescent="0.35">
      <c r="O201" s="31">
        <v>1165.5940000000001</v>
      </c>
      <c r="Q201" t="str">
        <f t="shared" ca="1" si="4"/>
        <v/>
      </c>
    </row>
    <row r="202" spans="15:17" ht="18" x14ac:dyDescent="0.35">
      <c r="O202" s="31">
        <v>1167.175</v>
      </c>
      <c r="Q202" t="str">
        <f t="shared" ca="1" si="4"/>
        <v/>
      </c>
    </row>
    <row r="203" spans="15:17" ht="18" x14ac:dyDescent="0.35">
      <c r="O203" s="31">
        <v>1169.8399999999999</v>
      </c>
      <c r="Q203">
        <f t="shared" ca="1" si="4"/>
        <v>1168.5713333333333</v>
      </c>
    </row>
    <row r="204" spans="15:17" ht="18" x14ac:dyDescent="0.35">
      <c r="O204" s="31">
        <v>1168.643</v>
      </c>
      <c r="Q204" t="str">
        <f t="shared" ca="1" si="4"/>
        <v/>
      </c>
    </row>
    <row r="205" spans="15:17" ht="18" x14ac:dyDescent="0.35">
      <c r="O205" s="31">
        <v>1167.231</v>
      </c>
      <c r="Q205" t="str">
        <f t="shared" ca="1" si="4"/>
        <v/>
      </c>
    </row>
    <row r="206" spans="15:17" ht="18" x14ac:dyDescent="0.35">
      <c r="O206" s="31">
        <v>1167.5360000000001</v>
      </c>
      <c r="Q206">
        <f t="shared" ca="1" si="4"/>
        <v>1166.2773333333334</v>
      </c>
    </row>
    <row r="207" spans="15:17" ht="18" x14ac:dyDescent="0.35">
      <c r="O207" s="31">
        <v>1167.6610000000001</v>
      </c>
      <c r="Q207" t="str">
        <f t="shared" ref="Q207:Q217" ca="1" si="6">IF(MOD(ROW()-14,3)=0,AVERAGE(INDIRECT("O"&amp;ROW()&amp;":O"&amp;(ROW()+2))),"")</f>
        <v/>
      </c>
    </row>
    <row r="208" spans="15:17" ht="18" x14ac:dyDescent="0.35">
      <c r="O208" s="31">
        <v>1163.635</v>
      </c>
      <c r="Q208" t="str">
        <f t="shared" ca="1" si="6"/>
        <v/>
      </c>
    </row>
    <row r="209" spans="15:17" ht="18" x14ac:dyDescent="0.35">
      <c r="O209" s="31">
        <v>1161.864</v>
      </c>
      <c r="Q209">
        <f t="shared" ca="1" si="6"/>
        <v>1160.009</v>
      </c>
    </row>
    <row r="210" spans="15:17" ht="18" x14ac:dyDescent="0.35">
      <c r="O210" s="31">
        <v>1160.473</v>
      </c>
      <c r="Q210" t="str">
        <f t="shared" ca="1" si="6"/>
        <v/>
      </c>
    </row>
    <row r="211" spans="15:17" ht="18" x14ac:dyDescent="0.35">
      <c r="O211" s="31">
        <v>1157.69</v>
      </c>
      <c r="Q211" t="str">
        <f t="shared" ca="1" si="6"/>
        <v/>
      </c>
    </row>
    <row r="212" spans="15:17" ht="18" x14ac:dyDescent="0.35">
      <c r="O212" s="31">
        <v>1153.627</v>
      </c>
      <c r="Q212">
        <f t="shared" ca="1" si="6"/>
        <v>1149.4453333333333</v>
      </c>
    </row>
    <row r="213" spans="15:17" ht="18" x14ac:dyDescent="0.35">
      <c r="O213" s="31">
        <v>1149.921</v>
      </c>
      <c r="Q213" t="str">
        <f t="shared" ca="1" si="6"/>
        <v/>
      </c>
    </row>
    <row r="214" spans="15:17" ht="18" x14ac:dyDescent="0.35">
      <c r="O214" s="31">
        <v>1144.788</v>
      </c>
      <c r="Q214" t="str">
        <f t="shared" ca="1" si="6"/>
        <v/>
      </c>
    </row>
    <row r="215" spans="15:17" ht="18" x14ac:dyDescent="0.35">
      <c r="O215" s="31">
        <v>1138.7170000000001</v>
      </c>
      <c r="Q215">
        <f t="shared" ca="1" si="6"/>
        <v>1133.5283333333334</v>
      </c>
    </row>
    <row r="216" spans="15:17" ht="18" x14ac:dyDescent="0.35">
      <c r="O216" s="31">
        <v>1133.585</v>
      </c>
      <c r="Q216" t="str">
        <f t="shared" ca="1" si="6"/>
        <v/>
      </c>
    </row>
    <row r="217" spans="15:17" ht="18" x14ac:dyDescent="0.35">
      <c r="O217" s="32">
        <v>1128.2829999999999</v>
      </c>
      <c r="Q217" t="str">
        <f t="shared" ca="1" si="6"/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CDF6-A064-43AC-B70D-D031E09D9BF4}">
  <dimension ref="A1:J241"/>
  <sheetViews>
    <sheetView workbookViewId="0">
      <selection activeCell="L6" sqref="L6"/>
    </sheetView>
  </sheetViews>
  <sheetFormatPr baseColWidth="10" defaultColWidth="11.44140625" defaultRowHeight="14.4" x14ac:dyDescent="0.3"/>
  <cols>
    <col min="1" max="2" width="13.6640625" bestFit="1" customWidth="1"/>
  </cols>
  <sheetData>
    <row r="1" spans="1:10" x14ac:dyDescent="0.3">
      <c r="B1" s="20" t="s">
        <v>16</v>
      </c>
      <c r="C1" t="s">
        <v>17</v>
      </c>
    </row>
    <row r="2" spans="1:10" x14ac:dyDescent="0.3">
      <c r="A2" s="19">
        <v>38626</v>
      </c>
      <c r="B2" s="20">
        <v>8.6013861739999999</v>
      </c>
      <c r="G2" s="23">
        <v>2012</v>
      </c>
      <c r="H2" s="23" t="s">
        <v>18</v>
      </c>
      <c r="I2" s="21">
        <v>26.480708093333334</v>
      </c>
      <c r="J2">
        <f t="shared" ref="J2:J55" si="0">+(I2/$I$2)*100</f>
        <v>100</v>
      </c>
    </row>
    <row r="3" spans="1:10" x14ac:dyDescent="0.3">
      <c r="A3" s="17">
        <v>38657</v>
      </c>
      <c r="B3" s="20">
        <v>8.6969077660000007</v>
      </c>
      <c r="G3" s="23"/>
      <c r="H3" s="23" t="s">
        <v>19</v>
      </c>
      <c r="I3" s="22">
        <v>28.225272989999997</v>
      </c>
      <c r="J3">
        <f t="shared" si="0"/>
        <v>106.58805984537048</v>
      </c>
    </row>
    <row r="4" spans="1:10" x14ac:dyDescent="0.3">
      <c r="A4" s="19">
        <v>38687</v>
      </c>
      <c r="B4" s="20">
        <v>8.7317102070000008</v>
      </c>
      <c r="G4" s="23"/>
      <c r="H4" s="23" t="s">
        <v>20</v>
      </c>
      <c r="I4" s="21">
        <v>29.720543809999999</v>
      </c>
      <c r="J4">
        <f t="shared" si="0"/>
        <v>112.2347019771813</v>
      </c>
    </row>
    <row r="5" spans="1:10" x14ac:dyDescent="0.3">
      <c r="A5" s="17">
        <v>38718</v>
      </c>
      <c r="B5" s="20">
        <v>8.835377051</v>
      </c>
      <c r="G5" s="23"/>
      <c r="H5" s="23" t="s">
        <v>21</v>
      </c>
      <c r="I5" s="22">
        <v>31.091414409999999</v>
      </c>
      <c r="J5">
        <f t="shared" si="0"/>
        <v>117.41156732069197</v>
      </c>
    </row>
    <row r="6" spans="1:10" x14ac:dyDescent="0.3">
      <c r="A6" s="19">
        <v>38749</v>
      </c>
      <c r="B6" s="20">
        <v>8.8524080329999997</v>
      </c>
      <c r="G6" s="23">
        <v>2013</v>
      </c>
      <c r="H6" s="23" t="s">
        <v>18</v>
      </c>
      <c r="I6" s="21">
        <v>32.862883323333335</v>
      </c>
      <c r="J6">
        <f t="shared" si="0"/>
        <v>124.10122572064736</v>
      </c>
    </row>
    <row r="7" spans="1:10" x14ac:dyDescent="0.3">
      <c r="A7" s="17">
        <v>38777</v>
      </c>
      <c r="B7" s="20">
        <v>8.9249748239999995</v>
      </c>
      <c r="G7" s="23"/>
      <c r="H7" s="23" t="s">
        <v>19</v>
      </c>
      <c r="I7" s="22">
        <v>34.932024170000005</v>
      </c>
      <c r="J7">
        <f t="shared" si="0"/>
        <v>131.91499278221468</v>
      </c>
    </row>
    <row r="8" spans="1:10" x14ac:dyDescent="0.3">
      <c r="A8" s="19">
        <v>38808</v>
      </c>
      <c r="B8" s="20">
        <v>8.9753272909999993</v>
      </c>
      <c r="G8" s="23"/>
      <c r="H8" s="23" t="s">
        <v>20</v>
      </c>
      <c r="I8" s="21">
        <v>37.201093933333333</v>
      </c>
      <c r="J8">
        <f t="shared" si="0"/>
        <v>140.48375822208061</v>
      </c>
    </row>
    <row r="9" spans="1:10" x14ac:dyDescent="0.3">
      <c r="A9" s="17">
        <v>38838</v>
      </c>
      <c r="B9" s="20">
        <v>9.0056868669999997</v>
      </c>
      <c r="G9" s="23"/>
      <c r="H9" s="23" t="s">
        <v>21</v>
      </c>
      <c r="I9" s="22">
        <v>40.355034260000004</v>
      </c>
      <c r="J9">
        <f t="shared" si="0"/>
        <v>152.39409051210231</v>
      </c>
    </row>
    <row r="10" spans="1:10" x14ac:dyDescent="0.3">
      <c r="A10" s="19">
        <v>38869</v>
      </c>
      <c r="B10" s="20">
        <v>9.0523369470000006</v>
      </c>
      <c r="G10" s="23">
        <v>2014</v>
      </c>
      <c r="H10" s="23" t="s">
        <v>18</v>
      </c>
      <c r="I10" s="21">
        <v>46.034249549999998</v>
      </c>
      <c r="J10">
        <f t="shared" si="0"/>
        <v>173.84070466601071</v>
      </c>
    </row>
    <row r="11" spans="1:10" x14ac:dyDescent="0.3">
      <c r="A11" s="17">
        <v>38899</v>
      </c>
      <c r="B11" s="20">
        <v>9.0797346129999994</v>
      </c>
      <c r="G11" s="23"/>
      <c r="H11" s="23" t="s">
        <v>19</v>
      </c>
      <c r="I11" s="22">
        <v>50.446754736666662</v>
      </c>
      <c r="J11">
        <f t="shared" si="0"/>
        <v>190.50379830804792</v>
      </c>
    </row>
    <row r="12" spans="1:10" x14ac:dyDescent="0.3">
      <c r="A12" s="19">
        <v>38930</v>
      </c>
      <c r="B12" s="20">
        <v>9.0975060719999998</v>
      </c>
      <c r="G12" s="23"/>
      <c r="H12" s="23" t="s">
        <v>20</v>
      </c>
      <c r="I12" s="21">
        <v>53.920334499999996</v>
      </c>
      <c r="J12">
        <f t="shared" si="0"/>
        <v>203.62119589081055</v>
      </c>
    </row>
    <row r="13" spans="1:10" x14ac:dyDescent="0.3">
      <c r="A13" s="17">
        <v>38961</v>
      </c>
      <c r="B13" s="20">
        <v>9.1360109000000005</v>
      </c>
      <c r="G13" s="23"/>
      <c r="H13" s="23" t="s">
        <v>21</v>
      </c>
      <c r="I13" s="22">
        <v>56.995537390000003</v>
      </c>
      <c r="J13">
        <f t="shared" si="0"/>
        <v>215.23418931667067</v>
      </c>
    </row>
    <row r="14" spans="1:10" x14ac:dyDescent="0.3">
      <c r="A14" s="19">
        <v>38991</v>
      </c>
      <c r="B14" s="20">
        <v>9.1811800249999997</v>
      </c>
      <c r="G14" s="23">
        <v>2015</v>
      </c>
      <c r="H14" s="23" t="s">
        <v>18</v>
      </c>
      <c r="I14" s="21">
        <v>59.89450664333333</v>
      </c>
      <c r="J14">
        <f t="shared" si="0"/>
        <v>226.18166565724164</v>
      </c>
    </row>
    <row r="15" spans="1:10" x14ac:dyDescent="0.3">
      <c r="A15" s="17">
        <v>39022</v>
      </c>
      <c r="B15" s="20">
        <v>9.2767016170000005</v>
      </c>
      <c r="G15" s="23"/>
      <c r="H15" s="23" t="s">
        <v>19</v>
      </c>
      <c r="I15" s="22">
        <v>63.268368780000003</v>
      </c>
      <c r="J15">
        <f t="shared" si="0"/>
        <v>238.92249616968576</v>
      </c>
    </row>
    <row r="16" spans="1:10" x14ac:dyDescent="0.3">
      <c r="A16" s="19">
        <v>39052</v>
      </c>
      <c r="B16" s="20">
        <v>9.4277590189999998</v>
      </c>
      <c r="G16" s="23"/>
      <c r="H16" s="23" t="s">
        <v>20</v>
      </c>
      <c r="I16" s="21">
        <v>67.003830736666671</v>
      </c>
      <c r="J16">
        <f t="shared" si="0"/>
        <v>253.02884839977241</v>
      </c>
    </row>
    <row r="17" spans="1:10" x14ac:dyDescent="0.3">
      <c r="A17" s="17">
        <v>39083</v>
      </c>
      <c r="B17" s="20">
        <v>9.5329068180000007</v>
      </c>
      <c r="G17" s="23"/>
      <c r="H17" s="23" t="s">
        <v>21</v>
      </c>
      <c r="I17" s="22">
        <v>72.333047016666669</v>
      </c>
      <c r="J17">
        <f t="shared" si="0"/>
        <v>273.15374937000615</v>
      </c>
    </row>
    <row r="18" spans="1:10" x14ac:dyDescent="0.3">
      <c r="A18" s="19">
        <v>39114</v>
      </c>
      <c r="B18" s="20">
        <v>9.5958474020000004</v>
      </c>
      <c r="G18" s="23">
        <v>2016</v>
      </c>
      <c r="H18" s="23" t="s">
        <v>18</v>
      </c>
      <c r="I18" s="21">
        <v>81.518423080000005</v>
      </c>
      <c r="J18">
        <f t="shared" si="0"/>
        <v>307.84079788456535</v>
      </c>
    </row>
    <row r="19" spans="1:10" x14ac:dyDescent="0.3">
      <c r="A19" s="17">
        <v>39142</v>
      </c>
      <c r="B19" s="20">
        <v>9.6958118590000009</v>
      </c>
      <c r="G19" s="23"/>
      <c r="H19" s="23" t="s">
        <v>19</v>
      </c>
      <c r="I19" s="22">
        <v>89.559020990000008</v>
      </c>
      <c r="J19">
        <f t="shared" si="0"/>
        <v>338.20478166347442</v>
      </c>
    </row>
    <row r="20" spans="1:10" x14ac:dyDescent="0.3">
      <c r="A20" s="19">
        <v>39173</v>
      </c>
      <c r="B20" s="20">
        <v>9.9157336649999994</v>
      </c>
      <c r="G20" s="23"/>
      <c r="H20" s="23" t="s">
        <v>20</v>
      </c>
      <c r="I20" s="21">
        <v>94.653505913333333</v>
      </c>
      <c r="J20">
        <f t="shared" si="0"/>
        <v>357.44325861574254</v>
      </c>
    </row>
    <row r="21" spans="1:10" x14ac:dyDescent="0.3">
      <c r="A21" s="17">
        <v>39203</v>
      </c>
      <c r="B21" s="20">
        <v>10.122326879999999</v>
      </c>
      <c r="G21" s="23"/>
      <c r="H21" s="23" t="s">
        <v>21</v>
      </c>
      <c r="I21" s="22">
        <v>99.004304643333327</v>
      </c>
      <c r="J21">
        <f t="shared" si="0"/>
        <v>373.87332806352794</v>
      </c>
    </row>
    <row r="22" spans="1:10" x14ac:dyDescent="0.3">
      <c r="A22" s="19">
        <v>39234</v>
      </c>
      <c r="B22" s="20">
        <v>10.391120190000001</v>
      </c>
      <c r="G22" s="23">
        <v>2017</v>
      </c>
      <c r="H22" s="23" t="s">
        <v>18</v>
      </c>
      <c r="I22" s="21">
        <v>103.8</v>
      </c>
      <c r="J22">
        <f t="shared" si="0"/>
        <v>391.9834757973569</v>
      </c>
    </row>
    <row r="23" spans="1:10" x14ac:dyDescent="0.3">
      <c r="A23" s="17">
        <v>39264</v>
      </c>
      <c r="B23" s="20">
        <v>10.65621112</v>
      </c>
      <c r="G23" s="23"/>
      <c r="H23" s="23" t="s">
        <v>19</v>
      </c>
      <c r="I23" s="22">
        <v>110.43333333333334</v>
      </c>
      <c r="J23">
        <f t="shared" si="0"/>
        <v>417.03315841896068</v>
      </c>
    </row>
    <row r="24" spans="1:10" x14ac:dyDescent="0.3">
      <c r="A24" s="19">
        <v>39295</v>
      </c>
      <c r="B24" s="20">
        <v>11.01015935</v>
      </c>
      <c r="G24" s="23"/>
      <c r="H24" s="23" t="s">
        <v>20</v>
      </c>
      <c r="I24" s="21">
        <v>115.59999999999998</v>
      </c>
      <c r="J24">
        <f t="shared" si="0"/>
        <v>436.54421774734533</v>
      </c>
    </row>
    <row r="25" spans="1:10" x14ac:dyDescent="0.3">
      <c r="A25" s="17">
        <v>39326</v>
      </c>
      <c r="B25" s="20">
        <v>11.230821629999999</v>
      </c>
      <c r="G25" s="23"/>
      <c r="H25" s="23" t="s">
        <v>21</v>
      </c>
      <c r="I25" s="22">
        <v>121.73333333333333</v>
      </c>
      <c r="J25">
        <f t="shared" si="0"/>
        <v>459.70573333717005</v>
      </c>
    </row>
    <row r="26" spans="1:10" x14ac:dyDescent="0.3">
      <c r="A26" s="19">
        <v>39356</v>
      </c>
      <c r="B26" s="20">
        <v>11.391505240000001</v>
      </c>
      <c r="G26" s="23">
        <v>2018</v>
      </c>
      <c r="H26" s="23" t="s">
        <v>18</v>
      </c>
      <c r="I26" s="21">
        <v>130.06666666666669</v>
      </c>
      <c r="J26">
        <f t="shared" si="0"/>
        <v>491.17518386682309</v>
      </c>
    </row>
    <row r="27" spans="1:10" x14ac:dyDescent="0.3">
      <c r="A27" s="17">
        <v>39387</v>
      </c>
      <c r="B27" s="20">
        <v>11.345595640000001</v>
      </c>
      <c r="G27" s="23"/>
      <c r="H27" s="23" t="s">
        <v>19</v>
      </c>
      <c r="I27" s="22">
        <v>140.4</v>
      </c>
      <c r="J27">
        <f t="shared" si="0"/>
        <v>530.19730252359261</v>
      </c>
    </row>
    <row r="28" spans="1:10" x14ac:dyDescent="0.3">
      <c r="A28" s="19">
        <v>39417</v>
      </c>
      <c r="B28" s="20">
        <v>11.45666726</v>
      </c>
      <c r="G28" s="23"/>
      <c r="H28" s="23" t="s">
        <v>20</v>
      </c>
      <c r="I28" s="21">
        <v>156.53333333333333</v>
      </c>
      <c r="J28">
        <f t="shared" si="0"/>
        <v>591.12215874900062</v>
      </c>
    </row>
    <row r="29" spans="1:10" x14ac:dyDescent="0.3">
      <c r="A29" s="17">
        <v>39448</v>
      </c>
      <c r="B29" s="20">
        <v>11.6884367</v>
      </c>
      <c r="G29" s="23"/>
      <c r="H29" s="23" t="s">
        <v>21</v>
      </c>
      <c r="I29" s="22">
        <v>179.33333333333334</v>
      </c>
      <c r="J29">
        <f t="shared" si="0"/>
        <v>677.22257539813108</v>
      </c>
    </row>
    <row r="30" spans="1:10" x14ac:dyDescent="0.3">
      <c r="A30" s="19">
        <v>39479</v>
      </c>
      <c r="B30" s="20">
        <v>11.94982525</v>
      </c>
      <c r="G30" s="23">
        <v>2019</v>
      </c>
      <c r="H30" s="23" t="s">
        <v>18</v>
      </c>
      <c r="I30" s="21">
        <v>197.46666666666667</v>
      </c>
      <c r="J30">
        <f t="shared" si="0"/>
        <v>745.70009975065591</v>
      </c>
    </row>
    <row r="31" spans="1:10" x14ac:dyDescent="0.3">
      <c r="A31" s="17">
        <v>39508</v>
      </c>
      <c r="B31" s="20">
        <v>12.43557846</v>
      </c>
      <c r="G31" s="23"/>
      <c r="H31" s="23" t="s">
        <v>19</v>
      </c>
      <c r="I31" s="22">
        <v>219.4</v>
      </c>
      <c r="J31">
        <f t="shared" si="0"/>
        <v>828.5276935447024</v>
      </c>
    </row>
    <row r="32" spans="1:10" x14ac:dyDescent="0.3">
      <c r="A32" s="19">
        <v>39539</v>
      </c>
      <c r="B32" s="20">
        <v>12.807298149999999</v>
      </c>
      <c r="G32" s="23"/>
      <c r="H32" s="23" t="s">
        <v>20</v>
      </c>
      <c r="I32" s="21">
        <v>241.26666666666665</v>
      </c>
      <c r="J32">
        <f t="shared" si="0"/>
        <v>911.10353173451165</v>
      </c>
    </row>
    <row r="33" spans="1:10" x14ac:dyDescent="0.3">
      <c r="A33" s="17">
        <v>39569</v>
      </c>
      <c r="B33" s="20">
        <v>12.83913868</v>
      </c>
      <c r="G33" s="23"/>
      <c r="H33" s="23" t="s">
        <v>21</v>
      </c>
      <c r="I33" s="22">
        <v>272.89999999999998</v>
      </c>
      <c r="J33">
        <f t="shared" si="0"/>
        <v>1030.5615659450741</v>
      </c>
    </row>
    <row r="34" spans="1:10" x14ac:dyDescent="0.3">
      <c r="A34" s="19">
        <v>39600</v>
      </c>
      <c r="B34" s="20">
        <v>13.150139210000001</v>
      </c>
      <c r="G34" s="23">
        <v>2020</v>
      </c>
      <c r="H34" s="23" t="s">
        <v>18</v>
      </c>
      <c r="I34" s="21">
        <v>297.03333333333336</v>
      </c>
      <c r="J34">
        <f t="shared" si="0"/>
        <v>1121.697094678949</v>
      </c>
    </row>
    <row r="35" spans="1:10" x14ac:dyDescent="0.3">
      <c r="A35" s="17">
        <v>39630</v>
      </c>
      <c r="B35" s="20">
        <v>13.3345181</v>
      </c>
      <c r="G35" s="23"/>
      <c r="H35" s="23" t="s">
        <v>19</v>
      </c>
      <c r="I35" s="22">
        <v>315.66666666666669</v>
      </c>
      <c r="J35">
        <f t="shared" si="0"/>
        <v>1192.062786063253</v>
      </c>
    </row>
    <row r="36" spans="1:10" x14ac:dyDescent="0.3">
      <c r="A36" s="19">
        <v>39661</v>
      </c>
      <c r="B36" s="20">
        <v>13.44336828</v>
      </c>
      <c r="G36" s="23"/>
      <c r="H36" s="23" t="s">
        <v>20</v>
      </c>
      <c r="I36" s="21">
        <v>337.3</v>
      </c>
      <c r="J36">
        <f t="shared" si="0"/>
        <v>1273.7574796382321</v>
      </c>
    </row>
    <row r="37" spans="1:10" x14ac:dyDescent="0.3">
      <c r="A37" s="17">
        <v>39692</v>
      </c>
      <c r="B37" s="20">
        <v>13.58850187</v>
      </c>
      <c r="G37" s="23"/>
      <c r="H37" s="23" t="s">
        <v>21</v>
      </c>
      <c r="I37" s="22">
        <v>372.2</v>
      </c>
      <c r="J37">
        <f t="shared" si="0"/>
        <v>1405.5515384564185</v>
      </c>
    </row>
    <row r="38" spans="1:10" x14ac:dyDescent="0.3">
      <c r="A38" s="19">
        <v>39722</v>
      </c>
      <c r="B38" s="20">
        <v>13.66773295</v>
      </c>
      <c r="G38" s="23">
        <v>2021</v>
      </c>
      <c r="H38" s="23" t="s">
        <v>18</v>
      </c>
      <c r="I38" s="21">
        <v>417.76666666666665</v>
      </c>
      <c r="J38">
        <f t="shared" si="0"/>
        <v>1577.6264939525606</v>
      </c>
    </row>
    <row r="39" spans="1:10" x14ac:dyDescent="0.3">
      <c r="A39" s="17">
        <v>39753</v>
      </c>
      <c r="B39" s="20">
        <v>13.75510929</v>
      </c>
      <c r="G39" s="23"/>
      <c r="H39" s="23" t="s">
        <v>19</v>
      </c>
      <c r="I39" s="22">
        <v>468.66666666666669</v>
      </c>
      <c r="J39">
        <f t="shared" si="0"/>
        <v>1769.8418977876809</v>
      </c>
    </row>
    <row r="40" spans="1:10" x14ac:dyDescent="0.3">
      <c r="A40" s="19">
        <v>39783</v>
      </c>
      <c r="B40" s="20">
        <v>13.81656892</v>
      </c>
      <c r="G40" s="23"/>
      <c r="H40" s="23" t="s">
        <v>20</v>
      </c>
      <c r="I40" s="21">
        <v>512.33333333333337</v>
      </c>
      <c r="J40">
        <f t="shared" si="0"/>
        <v>1934.7418185630622</v>
      </c>
    </row>
    <row r="41" spans="1:10" x14ac:dyDescent="0.3">
      <c r="A41" s="17">
        <v>39814</v>
      </c>
      <c r="B41" s="20">
        <v>13.97651205</v>
      </c>
      <c r="G41" s="23"/>
      <c r="H41" s="23" t="s">
        <v>21</v>
      </c>
      <c r="I41" s="22">
        <v>563.5</v>
      </c>
      <c r="J41">
        <f t="shared" si="0"/>
        <v>2127.9642448151312</v>
      </c>
    </row>
    <row r="42" spans="1:10" x14ac:dyDescent="0.3">
      <c r="A42" s="19">
        <v>39845</v>
      </c>
      <c r="B42" s="20">
        <v>13.975031100000001</v>
      </c>
      <c r="G42" s="23">
        <v>2022</v>
      </c>
      <c r="H42" s="23" t="s">
        <v>18</v>
      </c>
      <c r="I42" s="21">
        <v>638.16666666666663</v>
      </c>
      <c r="J42">
        <f t="shared" si="0"/>
        <v>2409.930521560821</v>
      </c>
    </row>
    <row r="43" spans="1:10" x14ac:dyDescent="0.3">
      <c r="A43" s="17">
        <v>39873</v>
      </c>
      <c r="B43" s="20">
        <v>14.30158166</v>
      </c>
      <c r="G43" s="23"/>
      <c r="H43" s="23" t="s">
        <v>19</v>
      </c>
      <c r="I43" s="22">
        <v>754.33333333333337</v>
      </c>
      <c r="J43">
        <f t="shared" si="0"/>
        <v>2848.6146619441834</v>
      </c>
    </row>
    <row r="44" spans="1:10" x14ac:dyDescent="0.3">
      <c r="A44" s="19">
        <v>39904</v>
      </c>
      <c r="B44" s="20">
        <v>14.56222973</v>
      </c>
      <c r="G44" s="23"/>
      <c r="H44" s="23" t="s">
        <v>20</v>
      </c>
      <c r="I44" s="21">
        <v>910.06666666666661</v>
      </c>
      <c r="J44">
        <f t="shared" si="0"/>
        <v>3436.7157534423368</v>
      </c>
    </row>
    <row r="45" spans="1:10" x14ac:dyDescent="0.3">
      <c r="A45" s="17">
        <v>39934</v>
      </c>
      <c r="B45" s="20">
        <v>14.688110890000001</v>
      </c>
      <c r="G45" s="23"/>
      <c r="H45" s="23" t="s">
        <v>21</v>
      </c>
      <c r="I45" s="22">
        <v>1080.8666666666666</v>
      </c>
      <c r="J45">
        <f t="shared" si="0"/>
        <v>4081.7136114981031</v>
      </c>
    </row>
    <row r="46" spans="1:10" x14ac:dyDescent="0.3">
      <c r="A46" s="19">
        <v>39965</v>
      </c>
      <c r="B46" s="20">
        <v>14.76586103</v>
      </c>
      <c r="G46" s="23">
        <v>2023</v>
      </c>
      <c r="H46" s="23" t="s">
        <v>18</v>
      </c>
      <c r="I46" s="21">
        <v>1288.9666666666665</v>
      </c>
      <c r="J46">
        <f t="shared" si="0"/>
        <v>4867.5687301245962</v>
      </c>
    </row>
    <row r="47" spans="1:10" x14ac:dyDescent="0.3">
      <c r="A47" s="17">
        <v>39995</v>
      </c>
      <c r="B47" s="20">
        <v>14.913956519999999</v>
      </c>
      <c r="G47" s="23"/>
      <c r="H47" s="23" t="s">
        <v>19</v>
      </c>
      <c r="I47" s="22">
        <v>1606.8</v>
      </c>
      <c r="J47">
        <f t="shared" si="0"/>
        <v>6067.8135733255594</v>
      </c>
    </row>
    <row r="48" spans="1:10" x14ac:dyDescent="0.3">
      <c r="A48" s="19">
        <v>40026</v>
      </c>
      <c r="B48" s="20">
        <v>15.19089509</v>
      </c>
      <c r="G48" s="23"/>
      <c r="H48" s="23" t="s">
        <v>20</v>
      </c>
      <c r="I48" s="21">
        <v>2055.7666666666664</v>
      </c>
      <c r="J48">
        <f t="shared" si="0"/>
        <v>7763.2616900611392</v>
      </c>
    </row>
    <row r="49" spans="1:10" x14ac:dyDescent="0.3">
      <c r="A49" s="17">
        <v>40057</v>
      </c>
      <c r="B49" s="20">
        <v>15.42488597</v>
      </c>
      <c r="G49" s="23"/>
      <c r="H49" s="23" t="s">
        <v>21</v>
      </c>
      <c r="I49" s="22">
        <v>2948.5333333333328</v>
      </c>
      <c r="J49">
        <f t="shared" si="0"/>
        <v>11134.646864203916</v>
      </c>
    </row>
    <row r="50" spans="1:10" x14ac:dyDescent="0.3">
      <c r="A50" s="19">
        <v>40087</v>
      </c>
      <c r="B50" s="20">
        <v>15.68109117</v>
      </c>
      <c r="G50" s="23">
        <v>2024</v>
      </c>
      <c r="H50" s="23" t="s">
        <v>18</v>
      </c>
      <c r="I50" s="21">
        <v>4814.8</v>
      </c>
      <c r="J50">
        <f t="shared" si="0"/>
        <v>18182.293249220751</v>
      </c>
    </row>
    <row r="51" spans="1:10" x14ac:dyDescent="0.3">
      <c r="A51" s="17">
        <v>40118</v>
      </c>
      <c r="B51" s="20">
        <v>15.86102719</v>
      </c>
      <c r="G51" s="23"/>
      <c r="H51" s="23" t="s">
        <v>19</v>
      </c>
      <c r="I51" s="22">
        <v>6085.2</v>
      </c>
      <c r="J51">
        <f t="shared" si="0"/>
        <v>22979.74804356528</v>
      </c>
    </row>
    <row r="52" spans="1:10" x14ac:dyDescent="0.3">
      <c r="A52" s="19">
        <v>40148</v>
      </c>
      <c r="B52" s="20">
        <v>16.368994730000001</v>
      </c>
      <c r="G52" s="23"/>
      <c r="H52" s="23" t="s">
        <v>20</v>
      </c>
      <c r="I52" s="21">
        <v>6871.0999999999995</v>
      </c>
      <c r="J52">
        <f t="shared" si="0"/>
        <v>25947.568984115787</v>
      </c>
    </row>
    <row r="53" spans="1:10" x14ac:dyDescent="0.3">
      <c r="A53" s="17">
        <v>40179</v>
      </c>
      <c r="B53" s="20">
        <v>16.73182868</v>
      </c>
      <c r="G53" s="23"/>
      <c r="H53" s="23" t="s">
        <v>21</v>
      </c>
      <c r="I53" s="22">
        <v>7499.8</v>
      </c>
      <c r="J53">
        <f t="shared" si="0"/>
        <v>28321.750209874925</v>
      </c>
    </row>
    <row r="54" spans="1:10" x14ac:dyDescent="0.3">
      <c r="A54" s="19">
        <v>40210</v>
      </c>
      <c r="B54" s="20">
        <v>17.460458500000001</v>
      </c>
      <c r="G54" s="23">
        <v>2025</v>
      </c>
      <c r="H54" s="23" t="s">
        <v>18</v>
      </c>
      <c r="I54" s="21">
        <v>8090.1333333333341</v>
      </c>
      <c r="J54">
        <f t="shared" si="0"/>
        <v>30551.046085395541</v>
      </c>
    </row>
    <row r="55" spans="1:10" x14ac:dyDescent="0.3">
      <c r="A55" s="17">
        <v>40238</v>
      </c>
      <c r="B55" s="20">
        <v>17.919554529999999</v>
      </c>
      <c r="G55" s="23"/>
      <c r="H55" s="23" t="s">
        <v>19</v>
      </c>
      <c r="I55" s="22">
        <v>8718.5666666666657</v>
      </c>
      <c r="J55">
        <f t="shared" si="0"/>
        <v>32924.220288737721</v>
      </c>
    </row>
    <row r="56" spans="1:10" x14ac:dyDescent="0.3">
      <c r="A56" s="19">
        <v>40269</v>
      </c>
      <c r="B56" s="20">
        <v>18.164652570000001</v>
      </c>
    </row>
    <row r="57" spans="1:10" x14ac:dyDescent="0.3">
      <c r="A57" s="17">
        <v>40299</v>
      </c>
      <c r="B57" s="20">
        <v>18.451957820000001</v>
      </c>
    </row>
    <row r="58" spans="1:10" x14ac:dyDescent="0.3">
      <c r="A58" s="19">
        <v>40330</v>
      </c>
      <c r="B58" s="20">
        <v>18.652627209999999</v>
      </c>
    </row>
    <row r="59" spans="1:10" x14ac:dyDescent="0.3">
      <c r="A59" s="17">
        <v>40360</v>
      </c>
      <c r="B59" s="20">
        <v>18.925863400000001</v>
      </c>
    </row>
    <row r="60" spans="1:10" x14ac:dyDescent="0.3">
      <c r="A60" s="19">
        <v>40391</v>
      </c>
      <c r="B60" s="20">
        <v>19.126532789999999</v>
      </c>
    </row>
    <row r="61" spans="1:10" x14ac:dyDescent="0.3">
      <c r="A61" s="17">
        <v>40422</v>
      </c>
      <c r="B61" s="20">
        <v>19.430128549999999</v>
      </c>
    </row>
    <row r="62" spans="1:10" x14ac:dyDescent="0.3">
      <c r="A62" s="19">
        <v>40452</v>
      </c>
      <c r="B62" s="20">
        <v>20.064717730000002</v>
      </c>
    </row>
    <row r="63" spans="1:10" x14ac:dyDescent="0.3">
      <c r="A63" s="17">
        <v>40483</v>
      </c>
      <c r="B63" s="20">
        <v>20.445323139999999</v>
      </c>
    </row>
    <row r="64" spans="1:10" x14ac:dyDescent="0.3">
      <c r="A64" s="19">
        <v>40513</v>
      </c>
      <c r="B64" s="20">
        <v>20.79334755</v>
      </c>
    </row>
    <row r="65" spans="1:10" x14ac:dyDescent="0.3">
      <c r="A65" s="17">
        <v>40544</v>
      </c>
      <c r="B65" s="20">
        <v>21.022155089999998</v>
      </c>
    </row>
    <row r="66" spans="1:10" x14ac:dyDescent="0.3">
      <c r="A66" s="19">
        <v>40575</v>
      </c>
      <c r="B66" s="20">
        <v>21.248741190000001</v>
      </c>
    </row>
    <row r="67" spans="1:10" x14ac:dyDescent="0.3">
      <c r="A67" s="17">
        <v>40603</v>
      </c>
      <c r="B67" s="20">
        <v>21.813725489999999</v>
      </c>
    </row>
    <row r="68" spans="1:10" x14ac:dyDescent="0.3">
      <c r="A68" s="19">
        <v>40634</v>
      </c>
      <c r="B68" s="20">
        <v>22.380190750000001</v>
      </c>
    </row>
    <row r="69" spans="1:10" x14ac:dyDescent="0.3">
      <c r="A69" s="17">
        <v>40664</v>
      </c>
      <c r="B69" s="20">
        <v>22.769681890000001</v>
      </c>
    </row>
    <row r="70" spans="1:10" x14ac:dyDescent="0.3">
      <c r="A70" s="19">
        <v>40695</v>
      </c>
      <c r="B70" s="20">
        <v>23.112522949999999</v>
      </c>
    </row>
    <row r="71" spans="1:10" x14ac:dyDescent="0.3">
      <c r="A71" s="17">
        <v>40725</v>
      </c>
      <c r="B71" s="20">
        <v>23.51460222</v>
      </c>
    </row>
    <row r="72" spans="1:10" x14ac:dyDescent="0.3">
      <c r="A72" s="19">
        <v>40756</v>
      </c>
      <c r="B72" s="20">
        <v>24.086250809999999</v>
      </c>
    </row>
    <row r="73" spans="1:10" x14ac:dyDescent="0.3">
      <c r="A73" s="17">
        <v>40787</v>
      </c>
      <c r="B73" s="20">
        <v>24.54830875</v>
      </c>
    </row>
    <row r="74" spans="1:10" x14ac:dyDescent="0.3">
      <c r="A74" s="19">
        <v>40817</v>
      </c>
      <c r="B74" s="20">
        <v>24.818583019999998</v>
      </c>
    </row>
    <row r="75" spans="1:10" x14ac:dyDescent="0.3">
      <c r="A75" s="17">
        <v>40848</v>
      </c>
      <c r="B75" s="20">
        <v>25.163645519999999</v>
      </c>
    </row>
    <row r="76" spans="1:10" x14ac:dyDescent="0.3">
      <c r="A76" s="19">
        <v>40878</v>
      </c>
      <c r="B76" s="20">
        <v>25.633108230000001</v>
      </c>
    </row>
    <row r="77" spans="1:10" x14ac:dyDescent="0.3">
      <c r="A77" s="17">
        <v>40909</v>
      </c>
      <c r="B77" s="20">
        <v>25.92929921</v>
      </c>
    </row>
    <row r="78" spans="1:10" x14ac:dyDescent="0.3">
      <c r="A78" s="19">
        <v>40940</v>
      </c>
      <c r="B78" s="20">
        <v>26.310645099999999</v>
      </c>
    </row>
    <row r="79" spans="1:10" x14ac:dyDescent="0.3">
      <c r="A79" s="17">
        <v>40969</v>
      </c>
      <c r="B79" s="20">
        <v>27.20217997</v>
      </c>
      <c r="C79">
        <f>+AVERAGE(B77:B79)</f>
        <v>26.480708093333334</v>
      </c>
      <c r="J79" s="21">
        <v>26.480708093333334</v>
      </c>
    </row>
    <row r="80" spans="1:10" x14ac:dyDescent="0.3">
      <c r="A80" s="19">
        <v>41000</v>
      </c>
      <c r="B80" s="20">
        <v>27.7464309</v>
      </c>
      <c r="J80" s="22">
        <v>28.225272989999997</v>
      </c>
    </row>
    <row r="81" spans="1:10" x14ac:dyDescent="0.3">
      <c r="A81" s="17">
        <v>41030</v>
      </c>
      <c r="B81" s="20">
        <v>28.275872280000002</v>
      </c>
      <c r="J81" s="21">
        <v>29.720543809999999</v>
      </c>
    </row>
    <row r="82" spans="1:10" x14ac:dyDescent="0.3">
      <c r="A82" s="19">
        <v>41061</v>
      </c>
      <c r="B82" s="20">
        <v>28.65351579</v>
      </c>
      <c r="C82">
        <f>+AVERAGE(B80:B82)</f>
        <v>28.225272989999997</v>
      </c>
      <c r="J82" s="22">
        <v>31.091414409999999</v>
      </c>
    </row>
    <row r="83" spans="1:10" x14ac:dyDescent="0.3">
      <c r="A83" s="17">
        <v>41091</v>
      </c>
      <c r="B83" s="20">
        <v>29.365114630000001</v>
      </c>
      <c r="J83" s="21">
        <v>32.862883323333335</v>
      </c>
    </row>
    <row r="84" spans="1:10" x14ac:dyDescent="0.3">
      <c r="A84" s="19">
        <v>41122</v>
      </c>
      <c r="B84" s="20">
        <v>29.665008</v>
      </c>
      <c r="J84" s="22">
        <v>34.932024170000005</v>
      </c>
    </row>
    <row r="85" spans="1:10" x14ac:dyDescent="0.3">
      <c r="A85" s="17">
        <v>41153</v>
      </c>
      <c r="B85" s="20">
        <v>30.131508799999999</v>
      </c>
      <c r="C85">
        <f>+AVERAGE(B83:B85)</f>
        <v>29.720543809999999</v>
      </c>
      <c r="J85" s="21">
        <v>37.201093933333333</v>
      </c>
    </row>
    <row r="86" spans="1:10" x14ac:dyDescent="0.3">
      <c r="A86" s="19">
        <v>41183</v>
      </c>
      <c r="B86" s="20">
        <v>30.58171909</v>
      </c>
      <c r="J86" s="22">
        <v>40.355034260000004</v>
      </c>
    </row>
    <row r="87" spans="1:10" x14ac:dyDescent="0.3">
      <c r="A87" s="17">
        <v>41214</v>
      </c>
      <c r="B87" s="20">
        <v>31.162253419999999</v>
      </c>
      <c r="J87" s="21">
        <v>46.034249549999998</v>
      </c>
    </row>
    <row r="88" spans="1:10" x14ac:dyDescent="0.3">
      <c r="A88" s="19">
        <v>41244</v>
      </c>
      <c r="B88" s="20">
        <v>31.530270720000001</v>
      </c>
      <c r="C88">
        <f>+AVERAGE(B86:B88)</f>
        <v>31.091414409999999</v>
      </c>
      <c r="J88" s="22">
        <v>50.446754736666662</v>
      </c>
    </row>
    <row r="89" spans="1:10" x14ac:dyDescent="0.3">
      <c r="A89" s="17">
        <v>41275</v>
      </c>
      <c r="B89" s="20">
        <v>32.056009719999999</v>
      </c>
      <c r="J89" s="21">
        <v>53.920334499999996</v>
      </c>
    </row>
    <row r="90" spans="1:10" x14ac:dyDescent="0.3">
      <c r="A90" s="19">
        <v>41306</v>
      </c>
      <c r="B90" s="20">
        <v>32.859427760000003</v>
      </c>
      <c r="J90" s="22">
        <v>56.995537390000003</v>
      </c>
    </row>
    <row r="91" spans="1:10" x14ac:dyDescent="0.3">
      <c r="A91" s="17">
        <v>41334</v>
      </c>
      <c r="B91" s="20">
        <v>33.673212489999997</v>
      </c>
      <c r="C91">
        <f>+AVERAGE(B89:B91)</f>
        <v>32.862883323333335</v>
      </c>
      <c r="J91" s="21">
        <v>59.89450664333333</v>
      </c>
    </row>
    <row r="92" spans="1:10" x14ac:dyDescent="0.3">
      <c r="A92" s="19">
        <v>41365</v>
      </c>
      <c r="B92" s="20">
        <v>34.223387240000001</v>
      </c>
      <c r="J92" s="22">
        <v>63.268368780000003</v>
      </c>
    </row>
    <row r="93" spans="1:10" x14ac:dyDescent="0.3">
      <c r="A93" s="17">
        <v>41395</v>
      </c>
      <c r="B93" s="20">
        <v>34.877228840000001</v>
      </c>
      <c r="J93" s="21">
        <v>67.003830736666671</v>
      </c>
    </row>
    <row r="94" spans="1:10" x14ac:dyDescent="0.3">
      <c r="A94" s="19">
        <v>41426</v>
      </c>
      <c r="B94" s="20">
        <v>35.69545643</v>
      </c>
      <c r="C94">
        <f>+AVERAGE(B92:B94)</f>
        <v>34.932024170000005</v>
      </c>
      <c r="J94" s="22">
        <v>72.333047016666669</v>
      </c>
    </row>
    <row r="95" spans="1:10" x14ac:dyDescent="0.3">
      <c r="A95" s="17">
        <v>41456</v>
      </c>
      <c r="B95" s="20">
        <v>36.503317340000002</v>
      </c>
      <c r="J95" s="21">
        <v>81.518423080000005</v>
      </c>
    </row>
    <row r="96" spans="1:10" x14ac:dyDescent="0.3">
      <c r="A96" s="19">
        <v>41487</v>
      </c>
      <c r="B96" s="20">
        <v>37.19640424</v>
      </c>
      <c r="J96" s="22">
        <v>89.559020990000008</v>
      </c>
    </row>
    <row r="97" spans="1:10" x14ac:dyDescent="0.3">
      <c r="A97" s="17">
        <v>41518</v>
      </c>
      <c r="B97" s="20">
        <v>37.903560220000003</v>
      </c>
      <c r="C97">
        <f>+AVERAGE(B95:B97)</f>
        <v>37.201093933333333</v>
      </c>
      <c r="J97" s="21">
        <v>94.653505913333333</v>
      </c>
    </row>
    <row r="98" spans="1:10" x14ac:dyDescent="0.3">
      <c r="A98" s="19">
        <v>41548</v>
      </c>
      <c r="B98" s="20">
        <v>39.171998100000003</v>
      </c>
      <c r="J98" s="22">
        <v>99.004304643333327</v>
      </c>
    </row>
    <row r="99" spans="1:10" x14ac:dyDescent="0.3">
      <c r="A99" s="17">
        <v>41579</v>
      </c>
      <c r="B99" s="20">
        <v>40.29085955</v>
      </c>
      <c r="J99" s="21">
        <v>103.8</v>
      </c>
    </row>
    <row r="100" spans="1:10" x14ac:dyDescent="0.3">
      <c r="A100" s="19">
        <v>41609</v>
      </c>
      <c r="B100" s="20">
        <v>41.60224513</v>
      </c>
      <c r="C100">
        <f>+AVERAGE(B98:B100)</f>
        <v>40.355034260000004</v>
      </c>
      <c r="J100" s="22">
        <v>110.43333333333334</v>
      </c>
    </row>
    <row r="101" spans="1:10" x14ac:dyDescent="0.3">
      <c r="A101" s="17">
        <v>41640</v>
      </c>
      <c r="B101" s="20">
        <v>43.343107639999999</v>
      </c>
      <c r="J101" s="21">
        <v>115.59999999999998</v>
      </c>
    </row>
    <row r="102" spans="1:10" x14ac:dyDescent="0.3">
      <c r="A102" s="19">
        <v>41671</v>
      </c>
      <c r="B102" s="20">
        <v>46.451632009999997</v>
      </c>
      <c r="J102" s="22">
        <v>121.73333333333333</v>
      </c>
    </row>
    <row r="103" spans="1:10" x14ac:dyDescent="0.3">
      <c r="A103" s="17">
        <v>41699</v>
      </c>
      <c r="B103" s="20">
        <v>48.308008999999998</v>
      </c>
      <c r="C103">
        <f>+AVERAGE(B101:B103)</f>
        <v>46.034249549999998</v>
      </c>
      <c r="J103" s="21">
        <v>130.06666666666669</v>
      </c>
    </row>
    <row r="104" spans="1:10" x14ac:dyDescent="0.3">
      <c r="A104" s="19">
        <v>41730</v>
      </c>
      <c r="B104" s="20">
        <v>49.304691669999997</v>
      </c>
      <c r="J104" s="22">
        <v>140.4</v>
      </c>
    </row>
    <row r="105" spans="1:10" x14ac:dyDescent="0.3">
      <c r="A105" s="17">
        <v>41760</v>
      </c>
      <c r="B105" s="20">
        <v>50.56276287</v>
      </c>
      <c r="J105" s="21">
        <v>156.53333333333333</v>
      </c>
    </row>
    <row r="106" spans="1:10" x14ac:dyDescent="0.3">
      <c r="A106" s="19">
        <v>41791</v>
      </c>
      <c r="B106" s="20">
        <v>51.472809669999997</v>
      </c>
      <c r="C106">
        <f>+AVERAGE(B104:B106)</f>
        <v>50.446754736666662</v>
      </c>
      <c r="J106" s="22">
        <v>179.33333333333334</v>
      </c>
    </row>
    <row r="107" spans="1:10" x14ac:dyDescent="0.3">
      <c r="A107" s="17">
        <v>41821</v>
      </c>
      <c r="B107" s="20">
        <v>52.485782829999998</v>
      </c>
      <c r="J107" s="21">
        <v>197.46666666666667</v>
      </c>
    </row>
    <row r="108" spans="1:10" x14ac:dyDescent="0.3">
      <c r="A108" s="19">
        <v>41852</v>
      </c>
      <c r="B108" s="20">
        <v>53.805313669999997</v>
      </c>
      <c r="J108" s="22">
        <v>219.4</v>
      </c>
    </row>
    <row r="109" spans="1:10" x14ac:dyDescent="0.3">
      <c r="A109" s="17">
        <v>41883</v>
      </c>
      <c r="B109" s="20">
        <v>55.469906999999999</v>
      </c>
      <c r="C109">
        <f>+AVERAGE(B107:B109)</f>
        <v>53.920334499999996</v>
      </c>
      <c r="J109" s="21">
        <v>241.26666666666665</v>
      </c>
    </row>
    <row r="110" spans="1:10" x14ac:dyDescent="0.3">
      <c r="A110" s="19">
        <v>41913</v>
      </c>
      <c r="B110" s="20">
        <v>56.16595581</v>
      </c>
      <c r="J110" s="22">
        <v>272.89999999999998</v>
      </c>
    </row>
    <row r="111" spans="1:10" x14ac:dyDescent="0.3">
      <c r="A111" s="17">
        <v>41944</v>
      </c>
      <c r="B111" s="20">
        <v>56.990107219999999</v>
      </c>
      <c r="J111" s="21">
        <v>297.03333333333336</v>
      </c>
    </row>
    <row r="112" spans="1:10" x14ac:dyDescent="0.3">
      <c r="A112" s="19">
        <v>41974</v>
      </c>
      <c r="B112" s="20">
        <v>57.830549140000002</v>
      </c>
      <c r="C112">
        <f>+AVERAGE(B110:B112)</f>
        <v>56.995537390000003</v>
      </c>
      <c r="J112" s="22">
        <v>315.66666666666669</v>
      </c>
    </row>
    <row r="113" spans="1:10" x14ac:dyDescent="0.3">
      <c r="A113" s="17">
        <v>42005</v>
      </c>
      <c r="B113" s="20">
        <v>58.700610150000003</v>
      </c>
      <c r="J113" s="21">
        <v>337.3</v>
      </c>
    </row>
    <row r="114" spans="1:10" x14ac:dyDescent="0.3">
      <c r="A114" s="19">
        <v>42036</v>
      </c>
      <c r="B114" s="20">
        <v>59.875747879999999</v>
      </c>
      <c r="J114" s="22">
        <v>372.2</v>
      </c>
    </row>
    <row r="115" spans="1:10" x14ac:dyDescent="0.3">
      <c r="A115" s="17">
        <v>42064</v>
      </c>
      <c r="B115" s="20">
        <v>61.107161900000001</v>
      </c>
      <c r="C115">
        <f>+AVERAGE(B113:B115)</f>
        <v>59.89450664333333</v>
      </c>
      <c r="J115" s="21">
        <v>417.76666666666665</v>
      </c>
    </row>
    <row r="116" spans="1:10" x14ac:dyDescent="0.3">
      <c r="A116" s="19">
        <v>42095</v>
      </c>
      <c r="B116" s="20">
        <v>62.22158048</v>
      </c>
      <c r="J116" s="22">
        <v>468.66666666666669</v>
      </c>
    </row>
    <row r="117" spans="1:10" x14ac:dyDescent="0.3">
      <c r="A117" s="17">
        <v>42125</v>
      </c>
      <c r="B117" s="20">
        <v>63.439665900000001</v>
      </c>
      <c r="J117" s="21">
        <v>512.33333333333337</v>
      </c>
    </row>
    <row r="118" spans="1:10" x14ac:dyDescent="0.3">
      <c r="A118" s="19">
        <v>42156</v>
      </c>
      <c r="B118" s="20">
        <v>64.14385996</v>
      </c>
      <c r="C118">
        <f>+AVERAGE(B116:B118)</f>
        <v>63.268368780000003</v>
      </c>
      <c r="J118" s="22">
        <v>563.5</v>
      </c>
    </row>
    <row r="119" spans="1:10" x14ac:dyDescent="0.3">
      <c r="A119" s="17">
        <v>42186</v>
      </c>
      <c r="B119" s="20">
        <v>65.621852970000006</v>
      </c>
      <c r="J119" s="21">
        <v>638.16666666666663</v>
      </c>
    </row>
    <row r="120" spans="1:10" x14ac:dyDescent="0.3">
      <c r="A120" s="19">
        <v>42217</v>
      </c>
      <c r="B120" s="20">
        <v>66.878443219999994</v>
      </c>
      <c r="J120" s="22">
        <v>754.33333333333337</v>
      </c>
    </row>
    <row r="121" spans="1:10" x14ac:dyDescent="0.3">
      <c r="A121" s="17">
        <v>42248</v>
      </c>
      <c r="B121" s="20">
        <v>68.51119602</v>
      </c>
      <c r="C121">
        <f>+AVERAGE(B119:B121)</f>
        <v>67.003830736666671</v>
      </c>
      <c r="J121" s="21">
        <v>910.06666666666661</v>
      </c>
    </row>
    <row r="122" spans="1:10" x14ac:dyDescent="0.3">
      <c r="A122" s="19">
        <v>42278</v>
      </c>
      <c r="B122" s="20">
        <v>69.459007170000007</v>
      </c>
      <c r="J122" s="22">
        <v>1080.8666666666666</v>
      </c>
    </row>
    <row r="123" spans="1:10" x14ac:dyDescent="0.3">
      <c r="A123" s="17">
        <v>42309</v>
      </c>
      <c r="B123" s="20">
        <v>71.453112970000006</v>
      </c>
      <c r="J123" s="21">
        <v>1288.9666666666665</v>
      </c>
    </row>
    <row r="124" spans="1:10" x14ac:dyDescent="0.3">
      <c r="A124" s="19">
        <v>42339</v>
      </c>
      <c r="B124" s="20">
        <v>76.087020910000007</v>
      </c>
      <c r="C124">
        <f>+AVERAGE(B122:B124)</f>
        <v>72.333047016666669</v>
      </c>
      <c r="J124" s="22">
        <v>1606.8</v>
      </c>
    </row>
    <row r="125" spans="1:10" x14ac:dyDescent="0.3">
      <c r="A125" s="17">
        <v>42370</v>
      </c>
      <c r="B125" s="20">
        <v>79.276997809999997</v>
      </c>
      <c r="J125" s="21">
        <v>2055.7666666666664</v>
      </c>
    </row>
    <row r="126" spans="1:10" x14ac:dyDescent="0.3">
      <c r="A126" s="19">
        <v>42401</v>
      </c>
      <c r="B126" s="20">
        <v>81.427344349999998</v>
      </c>
      <c r="J126" s="22">
        <v>2948.5333333333328</v>
      </c>
    </row>
    <row r="127" spans="1:10" x14ac:dyDescent="0.3">
      <c r="A127" s="17">
        <v>42430</v>
      </c>
      <c r="B127" s="20">
        <v>83.850927080000005</v>
      </c>
      <c r="C127">
        <f>+AVERAGE(B125:B127)</f>
        <v>81.518423080000005</v>
      </c>
      <c r="J127" s="21">
        <v>4814.8</v>
      </c>
    </row>
    <row r="128" spans="1:10" x14ac:dyDescent="0.3">
      <c r="A128" s="19">
        <v>42461</v>
      </c>
      <c r="B128" s="20">
        <v>86.69732243</v>
      </c>
      <c r="J128" s="22">
        <v>6085.2</v>
      </c>
    </row>
    <row r="129" spans="1:10" x14ac:dyDescent="0.3">
      <c r="A129" s="17">
        <v>42491</v>
      </c>
      <c r="B129" s="20">
        <v>90.327883420000006</v>
      </c>
      <c r="J129" s="21">
        <v>6871.0999999999995</v>
      </c>
    </row>
    <row r="130" spans="1:10" x14ac:dyDescent="0.3">
      <c r="A130" s="19">
        <v>42522</v>
      </c>
      <c r="B130" s="20">
        <v>91.651857120000003</v>
      </c>
      <c r="C130">
        <f>+AVERAGE(B128:B130)</f>
        <v>89.559020990000008</v>
      </c>
      <c r="J130" s="22">
        <v>7499.8</v>
      </c>
    </row>
    <row r="131" spans="1:10" x14ac:dyDescent="0.3">
      <c r="A131" s="17">
        <v>42552</v>
      </c>
      <c r="B131" s="20">
        <v>93.725934480000006</v>
      </c>
      <c r="J131" s="21">
        <v>8090.1333333333341</v>
      </c>
    </row>
    <row r="132" spans="1:10" x14ac:dyDescent="0.3">
      <c r="A132" s="19">
        <v>42583</v>
      </c>
      <c r="B132" s="20">
        <v>94.322018839999998</v>
      </c>
      <c r="J132" s="22">
        <v>8718.5666666666657</v>
      </c>
    </row>
    <row r="133" spans="1:10" x14ac:dyDescent="0.3">
      <c r="A133" s="17">
        <v>42614</v>
      </c>
      <c r="B133" s="20">
        <v>95.912564419999995</v>
      </c>
      <c r="C133">
        <f>+AVERAGE(B131:B133)</f>
        <v>94.653505913333333</v>
      </c>
      <c r="J133" s="21">
        <v>9200.4333333333343</v>
      </c>
    </row>
    <row r="134" spans="1:10" x14ac:dyDescent="0.3">
      <c r="A134" s="19">
        <v>42644</v>
      </c>
      <c r="B134" s="20">
        <v>97.861501099999998</v>
      </c>
    </row>
    <row r="135" spans="1:10" x14ac:dyDescent="0.3">
      <c r="A135" s="17">
        <v>42675</v>
      </c>
      <c r="B135" s="20">
        <v>99.151412829999998</v>
      </c>
    </row>
    <row r="136" spans="1:10" x14ac:dyDescent="0.3">
      <c r="A136" s="19">
        <v>42705</v>
      </c>
      <c r="B136" s="18">
        <v>100</v>
      </c>
      <c r="C136">
        <f>+AVERAGE(B134:B136)</f>
        <v>99.004304643333327</v>
      </c>
    </row>
    <row r="137" spans="1:10" x14ac:dyDescent="0.3">
      <c r="A137" s="17">
        <v>42736</v>
      </c>
      <c r="B137" s="16">
        <v>101.6</v>
      </c>
    </row>
    <row r="138" spans="1:10" x14ac:dyDescent="0.3">
      <c r="A138" s="19">
        <v>42767</v>
      </c>
      <c r="B138" s="18">
        <v>103.7</v>
      </c>
    </row>
    <row r="139" spans="1:10" x14ac:dyDescent="0.3">
      <c r="A139" s="17">
        <v>42795</v>
      </c>
      <c r="B139" s="16">
        <v>106.1</v>
      </c>
      <c r="C139">
        <f>+AVERAGE(B137:B139)</f>
        <v>103.8</v>
      </c>
    </row>
    <row r="140" spans="1:10" x14ac:dyDescent="0.3">
      <c r="A140" s="19">
        <v>42826</v>
      </c>
      <c r="B140" s="18">
        <v>109</v>
      </c>
    </row>
    <row r="141" spans="1:10" x14ac:dyDescent="0.3">
      <c r="A141" s="17">
        <v>42856</v>
      </c>
      <c r="B141" s="16">
        <v>110.5</v>
      </c>
    </row>
    <row r="142" spans="1:10" x14ac:dyDescent="0.3">
      <c r="A142" s="19">
        <v>42887</v>
      </c>
      <c r="B142" s="18">
        <v>111.8</v>
      </c>
      <c r="C142">
        <f>+AVERAGE(B140:B142)</f>
        <v>110.43333333333334</v>
      </c>
    </row>
    <row r="143" spans="1:10" x14ac:dyDescent="0.3">
      <c r="A143" s="17">
        <v>42917</v>
      </c>
      <c r="B143" s="16">
        <v>113.8</v>
      </c>
    </row>
    <row r="144" spans="1:10" x14ac:dyDescent="0.3">
      <c r="A144" s="19">
        <v>42948</v>
      </c>
      <c r="B144" s="18">
        <v>115.4</v>
      </c>
    </row>
    <row r="145" spans="1:3" x14ac:dyDescent="0.3">
      <c r="A145" s="17">
        <v>42979</v>
      </c>
      <c r="B145" s="16">
        <v>117.6</v>
      </c>
      <c r="C145">
        <f>+AVERAGE(B143:B145)</f>
        <v>115.59999999999998</v>
      </c>
    </row>
    <row r="146" spans="1:3" x14ac:dyDescent="0.3">
      <c r="A146" s="19">
        <v>43009</v>
      </c>
      <c r="B146" s="18">
        <v>119.4</v>
      </c>
    </row>
    <row r="147" spans="1:3" x14ac:dyDescent="0.3">
      <c r="A147" s="17">
        <v>43040</v>
      </c>
      <c r="B147" s="16">
        <v>121</v>
      </c>
    </row>
    <row r="148" spans="1:3" x14ac:dyDescent="0.3">
      <c r="A148" s="19">
        <v>43070</v>
      </c>
      <c r="B148" s="18">
        <v>124.8</v>
      </c>
      <c r="C148">
        <f>+AVERAGE(B146:B148)</f>
        <v>121.73333333333333</v>
      </c>
    </row>
    <row r="149" spans="1:3" x14ac:dyDescent="0.3">
      <c r="A149" s="17">
        <v>43101</v>
      </c>
      <c r="B149" s="16">
        <v>127</v>
      </c>
    </row>
    <row r="150" spans="1:3" x14ac:dyDescent="0.3">
      <c r="A150" s="19">
        <v>43132</v>
      </c>
      <c r="B150" s="18">
        <v>130.1</v>
      </c>
    </row>
    <row r="151" spans="1:3" x14ac:dyDescent="0.3">
      <c r="A151" s="17">
        <v>43160</v>
      </c>
      <c r="B151" s="16">
        <v>133.1</v>
      </c>
      <c r="C151">
        <f>+AVERAGE(B149:B151)</f>
        <v>130.06666666666669</v>
      </c>
    </row>
    <row r="152" spans="1:3" x14ac:dyDescent="0.3">
      <c r="A152" s="19">
        <v>43191</v>
      </c>
      <c r="B152" s="18">
        <v>136.80000000000001</v>
      </c>
    </row>
    <row r="153" spans="1:3" x14ac:dyDescent="0.3">
      <c r="A153" s="17">
        <v>43221</v>
      </c>
      <c r="B153" s="16">
        <v>139.6</v>
      </c>
    </row>
    <row r="154" spans="1:3" x14ac:dyDescent="0.3">
      <c r="A154" s="19">
        <v>43252</v>
      </c>
      <c r="B154" s="18">
        <v>144.80000000000001</v>
      </c>
      <c r="C154">
        <f>+AVERAGE(B152:B154)</f>
        <v>140.4</v>
      </c>
    </row>
    <row r="155" spans="1:3" x14ac:dyDescent="0.3">
      <c r="A155" s="17">
        <v>43282</v>
      </c>
      <c r="B155" s="16">
        <v>149.30000000000001</v>
      </c>
    </row>
    <row r="156" spans="1:3" x14ac:dyDescent="0.3">
      <c r="A156" s="19">
        <v>43313</v>
      </c>
      <c r="B156" s="18">
        <v>155.1</v>
      </c>
    </row>
    <row r="157" spans="1:3" x14ac:dyDescent="0.3">
      <c r="A157" s="17">
        <v>43344</v>
      </c>
      <c r="B157" s="16">
        <v>165.2</v>
      </c>
      <c r="C157">
        <f>+AVERAGE(B155:B157)</f>
        <v>156.53333333333333</v>
      </c>
    </row>
    <row r="158" spans="1:3" x14ac:dyDescent="0.3">
      <c r="A158" s="19">
        <v>43374</v>
      </c>
      <c r="B158" s="18">
        <v>174.1</v>
      </c>
    </row>
    <row r="159" spans="1:3" x14ac:dyDescent="0.3">
      <c r="A159" s="17">
        <v>43405</v>
      </c>
      <c r="B159" s="16">
        <v>179.6</v>
      </c>
    </row>
    <row r="160" spans="1:3" x14ac:dyDescent="0.3">
      <c r="A160" s="19">
        <v>43435</v>
      </c>
      <c r="B160" s="18">
        <v>184.3</v>
      </c>
      <c r="C160">
        <f>+AVERAGE(B158:B160)</f>
        <v>179.33333333333334</v>
      </c>
    </row>
    <row r="161" spans="1:3" x14ac:dyDescent="0.3">
      <c r="A161" s="17">
        <v>43466</v>
      </c>
      <c r="B161" s="16">
        <v>189.6</v>
      </c>
    </row>
    <row r="162" spans="1:3" x14ac:dyDescent="0.3">
      <c r="A162" s="19">
        <v>43497</v>
      </c>
      <c r="B162" s="18">
        <v>196.8</v>
      </c>
    </row>
    <row r="163" spans="1:3" x14ac:dyDescent="0.3">
      <c r="A163" s="17">
        <v>43525</v>
      </c>
      <c r="B163" s="16">
        <v>206</v>
      </c>
      <c r="C163">
        <f>+AVERAGE(B161:B163)</f>
        <v>197.46666666666667</v>
      </c>
    </row>
    <row r="164" spans="1:3" x14ac:dyDescent="0.3">
      <c r="A164" s="19">
        <v>43556</v>
      </c>
      <c r="B164" s="18">
        <v>213.1</v>
      </c>
    </row>
    <row r="165" spans="1:3" x14ac:dyDescent="0.3">
      <c r="A165" s="17">
        <v>43586</v>
      </c>
      <c r="B165" s="16">
        <v>219.6</v>
      </c>
    </row>
    <row r="166" spans="1:3" x14ac:dyDescent="0.3">
      <c r="A166" s="19">
        <v>43617</v>
      </c>
      <c r="B166" s="18">
        <v>225.5</v>
      </c>
      <c r="C166">
        <f>+AVERAGE(B164:B166)</f>
        <v>219.4</v>
      </c>
    </row>
    <row r="167" spans="1:3" x14ac:dyDescent="0.3">
      <c r="A167" s="17">
        <v>43647</v>
      </c>
      <c r="B167" s="16">
        <v>230.5</v>
      </c>
    </row>
    <row r="168" spans="1:3" x14ac:dyDescent="0.3">
      <c r="A168" s="19">
        <v>43678</v>
      </c>
      <c r="B168" s="18">
        <v>239.6</v>
      </c>
    </row>
    <row r="169" spans="1:3" x14ac:dyDescent="0.3">
      <c r="A169" s="17">
        <v>43709</v>
      </c>
      <c r="B169" s="16">
        <v>253.7</v>
      </c>
      <c r="C169">
        <f>+AVERAGE(B167:B169)</f>
        <v>241.26666666666665</v>
      </c>
    </row>
    <row r="170" spans="1:3" x14ac:dyDescent="0.3">
      <c r="A170" s="19">
        <v>43739</v>
      </c>
      <c r="B170" s="18">
        <v>262.10000000000002</v>
      </c>
    </row>
    <row r="171" spans="1:3" x14ac:dyDescent="0.3">
      <c r="A171" s="17">
        <v>43770</v>
      </c>
      <c r="B171" s="16">
        <v>273.2</v>
      </c>
    </row>
    <row r="172" spans="1:3" x14ac:dyDescent="0.3">
      <c r="A172" s="19">
        <v>43800</v>
      </c>
      <c r="B172" s="18">
        <v>283.39999999999998</v>
      </c>
      <c r="C172">
        <f>+AVERAGE(B170:B172)</f>
        <v>272.89999999999998</v>
      </c>
    </row>
    <row r="173" spans="1:3" x14ac:dyDescent="0.3">
      <c r="A173" s="17">
        <v>43831</v>
      </c>
      <c r="B173" s="16">
        <v>289.8</v>
      </c>
    </row>
    <row r="174" spans="1:3" x14ac:dyDescent="0.3">
      <c r="A174" s="19">
        <v>43862</v>
      </c>
      <c r="B174" s="18">
        <v>295.7</v>
      </c>
    </row>
    <row r="175" spans="1:3" x14ac:dyDescent="0.3">
      <c r="A175" s="17">
        <v>43891</v>
      </c>
      <c r="B175" s="16">
        <v>305.60000000000002</v>
      </c>
      <c r="C175">
        <f>+AVERAGE(B173:B175)</f>
        <v>297.03333333333336</v>
      </c>
    </row>
    <row r="176" spans="1:3" x14ac:dyDescent="0.3">
      <c r="A176" s="19">
        <v>43922</v>
      </c>
      <c r="B176" s="18">
        <v>310.10000000000002</v>
      </c>
    </row>
    <row r="177" spans="1:3" x14ac:dyDescent="0.3">
      <c r="A177" s="17">
        <v>43952</v>
      </c>
      <c r="B177" s="16">
        <v>314.89999999999998</v>
      </c>
    </row>
    <row r="178" spans="1:3" x14ac:dyDescent="0.3">
      <c r="A178" s="19">
        <v>43983</v>
      </c>
      <c r="B178" s="18">
        <v>322</v>
      </c>
      <c r="C178">
        <f>+AVERAGE(B176:B178)</f>
        <v>315.66666666666669</v>
      </c>
    </row>
    <row r="179" spans="1:3" x14ac:dyDescent="0.3">
      <c r="A179" s="17">
        <v>44013</v>
      </c>
      <c r="B179" s="16">
        <v>328.2</v>
      </c>
    </row>
    <row r="180" spans="1:3" x14ac:dyDescent="0.3">
      <c r="A180" s="19">
        <v>44044</v>
      </c>
      <c r="B180" s="18">
        <v>337.1</v>
      </c>
    </row>
    <row r="181" spans="1:3" x14ac:dyDescent="0.3">
      <c r="A181" s="17">
        <v>44075</v>
      </c>
      <c r="B181" s="16">
        <v>346.6</v>
      </c>
      <c r="C181">
        <f>+AVERAGE(B179:B181)</f>
        <v>337.3</v>
      </c>
    </row>
    <row r="182" spans="1:3" x14ac:dyDescent="0.3">
      <c r="A182" s="19">
        <v>44105</v>
      </c>
      <c r="B182" s="18">
        <v>359.7</v>
      </c>
    </row>
    <row r="183" spans="1:3" x14ac:dyDescent="0.3">
      <c r="A183" s="17">
        <v>44136</v>
      </c>
      <c r="B183" s="16">
        <v>371</v>
      </c>
    </row>
    <row r="184" spans="1:3" x14ac:dyDescent="0.3">
      <c r="A184" s="19">
        <v>44166</v>
      </c>
      <c r="B184" s="18">
        <v>385.9</v>
      </c>
      <c r="C184">
        <f>+AVERAGE(B182:B184)</f>
        <v>372.2</v>
      </c>
    </row>
    <row r="185" spans="1:3" x14ac:dyDescent="0.3">
      <c r="A185" s="17">
        <v>44197</v>
      </c>
      <c r="B185" s="16">
        <v>401.5</v>
      </c>
    </row>
    <row r="186" spans="1:3" x14ac:dyDescent="0.3">
      <c r="A186" s="19">
        <v>44228</v>
      </c>
      <c r="B186" s="18">
        <v>415.9</v>
      </c>
    </row>
    <row r="187" spans="1:3" x14ac:dyDescent="0.3">
      <c r="A187" s="17">
        <v>44256</v>
      </c>
      <c r="B187" s="16">
        <v>435.9</v>
      </c>
      <c r="C187">
        <f>+AVERAGE(B185:B187)</f>
        <v>417.76666666666665</v>
      </c>
    </row>
    <row r="188" spans="1:3" x14ac:dyDescent="0.3">
      <c r="A188" s="19">
        <v>44287</v>
      </c>
      <c r="B188" s="18">
        <v>453.7</v>
      </c>
    </row>
    <row r="189" spans="1:3" x14ac:dyDescent="0.3">
      <c r="A189" s="17">
        <v>44317</v>
      </c>
      <c r="B189" s="16">
        <v>468.7</v>
      </c>
    </row>
    <row r="190" spans="1:3" x14ac:dyDescent="0.3">
      <c r="A190" s="19">
        <v>44348</v>
      </c>
      <c r="B190" s="18">
        <v>483.6</v>
      </c>
      <c r="C190">
        <f>+AVERAGE(B188:B190)</f>
        <v>468.66666666666669</v>
      </c>
    </row>
    <row r="191" spans="1:3" x14ac:dyDescent="0.3">
      <c r="A191" s="17">
        <v>44378</v>
      </c>
      <c r="B191" s="16">
        <v>498.1</v>
      </c>
    </row>
    <row r="192" spans="1:3" x14ac:dyDescent="0.3">
      <c r="A192" s="19">
        <v>44409</v>
      </c>
      <c r="B192" s="18">
        <v>510.4</v>
      </c>
    </row>
    <row r="193" spans="1:3" x14ac:dyDescent="0.3">
      <c r="A193" s="17">
        <v>44440</v>
      </c>
      <c r="B193" s="16">
        <v>528.5</v>
      </c>
      <c r="C193">
        <f>+AVERAGE(B191:B193)</f>
        <v>512.33333333333337</v>
      </c>
    </row>
    <row r="194" spans="1:3" x14ac:dyDescent="0.3">
      <c r="A194" s="19">
        <v>44470</v>
      </c>
      <c r="B194" s="18">
        <v>547.1</v>
      </c>
    </row>
    <row r="195" spans="1:3" x14ac:dyDescent="0.3">
      <c r="A195" s="17">
        <v>44501</v>
      </c>
      <c r="B195" s="16">
        <v>560.9</v>
      </c>
    </row>
    <row r="196" spans="1:3" x14ac:dyDescent="0.3">
      <c r="A196" s="19">
        <v>44531</v>
      </c>
      <c r="B196" s="18">
        <v>582.5</v>
      </c>
      <c r="C196">
        <f>+AVERAGE(B194:B196)</f>
        <v>563.5</v>
      </c>
    </row>
    <row r="197" spans="1:3" x14ac:dyDescent="0.3">
      <c r="A197" s="17">
        <v>44562</v>
      </c>
      <c r="B197" s="16">
        <v>605</v>
      </c>
    </row>
    <row r="198" spans="1:3" x14ac:dyDescent="0.3">
      <c r="A198" s="19">
        <v>44593</v>
      </c>
      <c r="B198" s="18">
        <v>633.4</v>
      </c>
    </row>
    <row r="199" spans="1:3" x14ac:dyDescent="0.3">
      <c r="A199" s="17">
        <v>44621</v>
      </c>
      <c r="B199" s="16">
        <v>676.1</v>
      </c>
      <c r="C199">
        <f>+AVERAGE(B197:B199)</f>
        <v>638.16666666666663</v>
      </c>
    </row>
    <row r="200" spans="1:3" x14ac:dyDescent="0.3">
      <c r="A200" s="19">
        <v>44652</v>
      </c>
      <c r="B200" s="18">
        <v>716.9</v>
      </c>
    </row>
    <row r="201" spans="1:3" x14ac:dyDescent="0.3">
      <c r="A201" s="17">
        <v>44682</v>
      </c>
      <c r="B201" s="16">
        <v>753.1</v>
      </c>
    </row>
    <row r="202" spans="1:3" x14ac:dyDescent="0.3">
      <c r="A202" s="19">
        <v>44713</v>
      </c>
      <c r="B202" s="18">
        <v>793</v>
      </c>
      <c r="C202">
        <f>+AVERAGE(B200:B202)</f>
        <v>754.33333333333337</v>
      </c>
    </row>
    <row r="203" spans="1:3" x14ac:dyDescent="0.3">
      <c r="A203" s="17">
        <v>44743</v>
      </c>
      <c r="B203" s="16">
        <v>851.8</v>
      </c>
    </row>
    <row r="204" spans="1:3" x14ac:dyDescent="0.3">
      <c r="A204" s="19">
        <v>44774</v>
      </c>
      <c r="B204" s="18">
        <v>911.1</v>
      </c>
    </row>
    <row r="205" spans="1:3" x14ac:dyDescent="0.3">
      <c r="A205" s="17">
        <v>44805</v>
      </c>
      <c r="B205" s="16">
        <v>967.3</v>
      </c>
      <c r="C205">
        <f>+AVERAGE(B203:B205)</f>
        <v>910.06666666666661</v>
      </c>
    </row>
    <row r="206" spans="1:3" x14ac:dyDescent="0.3">
      <c r="A206" s="19">
        <v>44835</v>
      </c>
      <c r="B206" s="18">
        <v>1028.7</v>
      </c>
    </row>
    <row r="207" spans="1:3" x14ac:dyDescent="0.3">
      <c r="A207" s="17">
        <v>44866</v>
      </c>
      <c r="B207" s="16">
        <v>1079.3</v>
      </c>
    </row>
    <row r="208" spans="1:3" x14ac:dyDescent="0.3">
      <c r="A208" s="19">
        <v>44896</v>
      </c>
      <c r="B208" s="18">
        <v>1134.5999999999999</v>
      </c>
      <c r="C208">
        <f>+AVERAGE(B206:B208)</f>
        <v>1080.8666666666666</v>
      </c>
    </row>
    <row r="209" spans="1:3" x14ac:dyDescent="0.3">
      <c r="A209" s="17">
        <v>44927</v>
      </c>
      <c r="B209" s="16">
        <v>1203</v>
      </c>
    </row>
    <row r="210" spans="1:3" x14ac:dyDescent="0.3">
      <c r="A210" s="19">
        <v>44958</v>
      </c>
      <c r="B210" s="18">
        <v>1282.7</v>
      </c>
    </row>
    <row r="211" spans="1:3" x14ac:dyDescent="0.3">
      <c r="A211" s="17">
        <v>44986</v>
      </c>
      <c r="B211" s="16">
        <v>1381.2</v>
      </c>
      <c r="C211">
        <f>+AVERAGE(B209:B211)</f>
        <v>1288.9666666666665</v>
      </c>
    </row>
    <row r="212" spans="1:3" x14ac:dyDescent="0.3">
      <c r="A212" s="19">
        <v>45017</v>
      </c>
      <c r="B212" s="18">
        <v>1497.2</v>
      </c>
    </row>
    <row r="213" spans="1:3" x14ac:dyDescent="0.3">
      <c r="A213" s="17">
        <v>45047</v>
      </c>
      <c r="B213" s="16">
        <v>1613.6</v>
      </c>
    </row>
    <row r="214" spans="1:3" x14ac:dyDescent="0.3">
      <c r="A214" s="19">
        <v>45078</v>
      </c>
      <c r="B214" s="18">
        <v>1709.6</v>
      </c>
      <c r="C214">
        <f>+AVERAGE(B212:B214)</f>
        <v>1606.8</v>
      </c>
    </row>
    <row r="215" spans="1:3" x14ac:dyDescent="0.3">
      <c r="A215" s="17">
        <v>45108</v>
      </c>
      <c r="B215" s="16">
        <v>1818.1</v>
      </c>
    </row>
    <row r="216" spans="1:3" x14ac:dyDescent="0.3">
      <c r="A216" s="19">
        <v>45139</v>
      </c>
      <c r="B216" s="18">
        <v>2044.3</v>
      </c>
    </row>
    <row r="217" spans="1:3" x14ac:dyDescent="0.3">
      <c r="A217" s="17">
        <v>45170</v>
      </c>
      <c r="B217" s="16">
        <v>2304.9</v>
      </c>
      <c r="C217">
        <f>+AVERAGE(B215:B217)</f>
        <v>2055.7666666666664</v>
      </c>
    </row>
    <row r="218" spans="1:3" x14ac:dyDescent="0.3">
      <c r="A218" s="19">
        <v>45200</v>
      </c>
      <c r="B218" s="18">
        <v>2496.3000000000002</v>
      </c>
    </row>
    <row r="219" spans="1:3" x14ac:dyDescent="0.3">
      <c r="A219" s="17">
        <v>45231</v>
      </c>
      <c r="B219" s="16">
        <v>2816.1</v>
      </c>
    </row>
    <row r="220" spans="1:3" x14ac:dyDescent="0.3">
      <c r="A220" s="19">
        <v>45261</v>
      </c>
      <c r="B220" s="18">
        <v>3533.2</v>
      </c>
      <c r="C220">
        <f>+AVERAGE(B218:B220)</f>
        <v>2948.5333333333328</v>
      </c>
    </row>
    <row r="221" spans="1:3" x14ac:dyDescent="0.3">
      <c r="A221" s="17">
        <v>45292</v>
      </c>
      <c r="B221" s="16">
        <v>4261.5</v>
      </c>
    </row>
    <row r="222" spans="1:3" x14ac:dyDescent="0.3">
      <c r="A222" s="19">
        <v>45323</v>
      </c>
      <c r="B222" s="18">
        <v>4825.8</v>
      </c>
    </row>
    <row r="223" spans="1:3" x14ac:dyDescent="0.3">
      <c r="A223" s="17">
        <v>45352</v>
      </c>
      <c r="B223" s="16">
        <v>5357.1</v>
      </c>
      <c r="C223">
        <f>+AVERAGE(B221:B223)</f>
        <v>4814.8</v>
      </c>
    </row>
    <row r="224" spans="1:3" x14ac:dyDescent="0.3">
      <c r="A224" s="19">
        <v>45383</v>
      </c>
      <c r="B224" s="18">
        <v>5830.2</v>
      </c>
    </row>
    <row r="225" spans="1:3" x14ac:dyDescent="0.3">
      <c r="A225" s="17">
        <v>45413</v>
      </c>
      <c r="B225" s="16">
        <v>6073.7</v>
      </c>
    </row>
    <row r="226" spans="1:3" x14ac:dyDescent="0.3">
      <c r="A226" s="19">
        <v>45444</v>
      </c>
      <c r="B226" s="18">
        <v>6351.7</v>
      </c>
      <c r="C226">
        <f>+AVERAGE(B224:B226)</f>
        <v>6085.2</v>
      </c>
    </row>
    <row r="227" spans="1:3" x14ac:dyDescent="0.3">
      <c r="A227" s="17">
        <v>45474</v>
      </c>
      <c r="B227" s="16">
        <v>6607.7</v>
      </c>
    </row>
    <row r="228" spans="1:3" x14ac:dyDescent="0.3">
      <c r="A228" s="19">
        <v>45505</v>
      </c>
      <c r="B228" s="18">
        <v>6883.4</v>
      </c>
    </row>
    <row r="229" spans="1:3" x14ac:dyDescent="0.3">
      <c r="A229" s="17">
        <v>45536</v>
      </c>
      <c r="B229" s="16">
        <v>7122.2</v>
      </c>
      <c r="C229">
        <f>+AVERAGE(B227:B229)</f>
        <v>6871.0999999999995</v>
      </c>
    </row>
    <row r="230" spans="1:3" x14ac:dyDescent="0.3">
      <c r="A230" s="19">
        <v>45566</v>
      </c>
      <c r="B230" s="18">
        <v>7314</v>
      </c>
    </row>
    <row r="231" spans="1:3" x14ac:dyDescent="0.3">
      <c r="A231" s="17">
        <v>45597</v>
      </c>
      <c r="B231" s="16">
        <v>7491.4</v>
      </c>
    </row>
    <row r="232" spans="1:3" x14ac:dyDescent="0.3">
      <c r="A232" s="19">
        <v>45627</v>
      </c>
      <c r="B232" s="18">
        <v>7694</v>
      </c>
      <c r="C232">
        <f>+AVERAGE(B230:B232)</f>
        <v>7499.8</v>
      </c>
    </row>
    <row r="233" spans="1:3" x14ac:dyDescent="0.3">
      <c r="A233" s="17">
        <v>45658</v>
      </c>
      <c r="B233" s="16">
        <v>7864.1</v>
      </c>
    </row>
    <row r="234" spans="1:3" x14ac:dyDescent="0.3">
      <c r="A234" s="19">
        <v>45689</v>
      </c>
      <c r="B234" s="18">
        <v>8053</v>
      </c>
    </row>
    <row r="235" spans="1:3" x14ac:dyDescent="0.3">
      <c r="A235" s="17">
        <v>45717</v>
      </c>
      <c r="B235" s="16">
        <v>8353.2999999999993</v>
      </c>
      <c r="C235">
        <f>+AVERAGE(B233:B235)</f>
        <v>8090.1333333333341</v>
      </c>
    </row>
    <row r="236" spans="1:3" x14ac:dyDescent="0.3">
      <c r="A236" s="19">
        <v>45748</v>
      </c>
      <c r="B236" s="18">
        <v>8585.6</v>
      </c>
    </row>
    <row r="237" spans="1:3" x14ac:dyDescent="0.3">
      <c r="A237" s="17">
        <v>45778</v>
      </c>
      <c r="B237" s="16">
        <v>8714.5</v>
      </c>
    </row>
    <row r="238" spans="1:3" x14ac:dyDescent="0.3">
      <c r="A238" s="19">
        <v>45809</v>
      </c>
      <c r="B238" s="18">
        <v>8855.6</v>
      </c>
      <c r="C238">
        <f>+AVERAGE(B236:B238)</f>
        <v>8718.5666666666657</v>
      </c>
    </row>
    <row r="239" spans="1:3" x14ac:dyDescent="0.3">
      <c r="A239" s="17">
        <v>45839</v>
      </c>
      <c r="B239" s="16">
        <v>9024</v>
      </c>
    </row>
    <row r="240" spans="1:3" x14ac:dyDescent="0.3">
      <c r="A240" s="19">
        <v>45870</v>
      </c>
      <c r="B240" s="18">
        <v>9193.2000000000007</v>
      </c>
    </row>
    <row r="241" spans="1:3" x14ac:dyDescent="0.3">
      <c r="A241" s="17">
        <v>45901</v>
      </c>
      <c r="B241" s="16">
        <v>9384.1</v>
      </c>
      <c r="C241">
        <f>+AVERAGE(B239:B241)</f>
        <v>9200.4333333333343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5B97-AED4-46CF-BE83-A3D1179A56C3}">
  <dimension ref="A1:E55"/>
  <sheetViews>
    <sheetView zoomScale="55" workbookViewId="0">
      <selection activeCell="K21" sqref="K21"/>
    </sheetView>
  </sheetViews>
  <sheetFormatPr baseColWidth="10" defaultColWidth="8.88671875" defaultRowHeight="14.4" x14ac:dyDescent="0.3"/>
  <cols>
    <col min="1" max="1" width="11.109375" bestFit="1" customWidth="1"/>
    <col min="2" max="2" width="20" bestFit="1" customWidth="1"/>
    <col min="4" max="4" width="18.109375" bestFit="1" customWidth="1"/>
  </cols>
  <sheetData>
    <row r="1" spans="1:5" x14ac:dyDescent="0.3">
      <c r="A1" t="s">
        <v>0</v>
      </c>
      <c r="B1" t="s">
        <v>22</v>
      </c>
      <c r="D1" t="s">
        <v>23</v>
      </c>
      <c r="E1" t="s">
        <v>5</v>
      </c>
    </row>
    <row r="2" spans="1:5" x14ac:dyDescent="0.3">
      <c r="A2" s="12">
        <v>40999</v>
      </c>
      <c r="B2" s="14">
        <f>+(C2/$C$2)*100</f>
        <v>100</v>
      </c>
      <c r="C2" s="2">
        <v>28.864731496127835</v>
      </c>
      <c r="D2" s="15">
        <f>+IPC_trim!J2</f>
        <v>100</v>
      </c>
      <c r="E2">
        <f t="shared" ref="E2:E33" si="0">+(B2/D2)*100</f>
        <v>100</v>
      </c>
    </row>
    <row r="3" spans="1:5" x14ac:dyDescent="0.3">
      <c r="A3" s="13">
        <v>41090</v>
      </c>
      <c r="B3" s="14">
        <f t="shared" ref="B3:B55" si="1">+(C3/$C$2)*100</f>
        <v>106.67014158154406</v>
      </c>
      <c r="C3" s="2">
        <v>30.790049954052105</v>
      </c>
      <c r="D3" s="15">
        <f>+IPC_trim!J3</f>
        <v>106.58805984537048</v>
      </c>
      <c r="E3">
        <f t="shared" si="0"/>
        <v>100.07700837813603</v>
      </c>
    </row>
    <row r="4" spans="1:5" x14ac:dyDescent="0.3">
      <c r="A4" s="12">
        <v>41182</v>
      </c>
      <c r="B4" s="14">
        <f t="shared" si="1"/>
        <v>113.77673334761498</v>
      </c>
      <c r="C4" s="2">
        <v>32.841348585854405</v>
      </c>
      <c r="D4" s="15">
        <f>+IPC_trim!J4</f>
        <v>112.2347019771813</v>
      </c>
      <c r="E4">
        <f t="shared" si="0"/>
        <v>101.37393457038554</v>
      </c>
    </row>
    <row r="5" spans="1:5" x14ac:dyDescent="0.3">
      <c r="A5" s="13">
        <v>41274</v>
      </c>
      <c r="B5" s="14">
        <f t="shared" si="1"/>
        <v>119.52600888853601</v>
      </c>
      <c r="C5" s="2">
        <v>34.50086153371381</v>
      </c>
      <c r="D5" s="15">
        <f>+IPC_trim!J5</f>
        <v>117.41156732069197</v>
      </c>
      <c r="E5">
        <f t="shared" si="0"/>
        <v>101.80088011436621</v>
      </c>
    </row>
    <row r="6" spans="1:5" x14ac:dyDescent="0.3">
      <c r="A6" s="12">
        <v>41364</v>
      </c>
      <c r="B6" s="14">
        <f t="shared" si="1"/>
        <v>123.92356115339271</v>
      </c>
      <c r="C6" s="2">
        <v>35.770203187366583</v>
      </c>
      <c r="D6" s="15">
        <f>+IPC_trim!J6</f>
        <v>124.10122572064736</v>
      </c>
      <c r="E6">
        <f t="shared" si="0"/>
        <v>99.856838990732797</v>
      </c>
    </row>
    <row r="7" spans="1:5" x14ac:dyDescent="0.3">
      <c r="A7" s="13">
        <v>41455</v>
      </c>
      <c r="B7" s="14">
        <f t="shared" si="1"/>
        <v>133.14459417554752</v>
      </c>
      <c r="C7" s="2">
        <v>38.431829610380852</v>
      </c>
      <c r="D7" s="15">
        <f>+IPC_trim!J7</f>
        <v>131.91499278221468</v>
      </c>
      <c r="E7">
        <f t="shared" si="0"/>
        <v>100.9321164845628</v>
      </c>
    </row>
    <row r="8" spans="1:5" x14ac:dyDescent="0.3">
      <c r="A8" s="12">
        <v>41547</v>
      </c>
      <c r="B8" s="14">
        <f t="shared" si="1"/>
        <v>142.62459474886677</v>
      </c>
      <c r="C8" s="2">
        <v>41.168206321700836</v>
      </c>
      <c r="D8" s="15">
        <f>+IPC_trim!J8</f>
        <v>140.48375822208061</v>
      </c>
      <c r="E8">
        <f t="shared" si="0"/>
        <v>101.52390322830193</v>
      </c>
    </row>
    <row r="9" spans="1:5" x14ac:dyDescent="0.3">
      <c r="A9" s="13">
        <v>41639</v>
      </c>
      <c r="B9" s="14">
        <f t="shared" si="1"/>
        <v>150.61693370066723</v>
      </c>
      <c r="C9" s="2">
        <v>43.475173500398476</v>
      </c>
      <c r="D9" s="15">
        <f>+IPC_trim!J9</f>
        <v>152.39409051210231</v>
      </c>
      <c r="E9">
        <f t="shared" si="0"/>
        <v>98.833841387508443</v>
      </c>
    </row>
    <row r="10" spans="1:5" x14ac:dyDescent="0.3">
      <c r="A10" s="12">
        <v>41729</v>
      </c>
      <c r="B10" s="14">
        <f t="shared" si="1"/>
        <v>159.38501702809572</v>
      </c>
      <c r="C10" s="2">
        <v>46.006057210217456</v>
      </c>
      <c r="D10" s="15">
        <f>+IPC_trim!J10</f>
        <v>173.84070466601071</v>
      </c>
      <c r="E10">
        <f t="shared" si="0"/>
        <v>91.684520799839248</v>
      </c>
    </row>
    <row r="11" spans="1:5" x14ac:dyDescent="0.3">
      <c r="A11" s="13">
        <v>41820</v>
      </c>
      <c r="B11" s="14">
        <f t="shared" si="1"/>
        <v>177.01982289116421</v>
      </c>
      <c r="C11" s="2">
        <v>51.096296572455593</v>
      </c>
      <c r="D11" s="15">
        <f>+IPC_trim!J11</f>
        <v>190.50379830804792</v>
      </c>
      <c r="E11">
        <f t="shared" si="0"/>
        <v>92.921938808233165</v>
      </c>
    </row>
    <row r="12" spans="1:5" x14ac:dyDescent="0.3">
      <c r="A12" s="12">
        <v>41912</v>
      </c>
      <c r="B12" s="14">
        <f t="shared" si="1"/>
        <v>192.55211207145609</v>
      </c>
      <c r="C12" s="2">
        <v>55.579650139548953</v>
      </c>
      <c r="D12" s="15">
        <f>+IPC_trim!J12</f>
        <v>203.62119589081055</v>
      </c>
      <c r="E12">
        <f t="shared" si="0"/>
        <v>94.563884289683614</v>
      </c>
    </row>
    <row r="13" spans="1:5" x14ac:dyDescent="0.3">
      <c r="A13" s="13">
        <v>42004</v>
      </c>
      <c r="B13" s="14">
        <f t="shared" si="1"/>
        <v>202.05087167214256</v>
      </c>
      <c r="C13" s="2">
        <v>58.321441593749775</v>
      </c>
      <c r="D13" s="15">
        <f>+IPC_trim!J13</f>
        <v>215.23418931667067</v>
      </c>
      <c r="E13">
        <f t="shared" si="0"/>
        <v>93.874896136908944</v>
      </c>
    </row>
    <row r="14" spans="1:5" x14ac:dyDescent="0.3">
      <c r="A14" s="12">
        <v>42094</v>
      </c>
      <c r="B14" s="14">
        <f t="shared" si="1"/>
        <v>211.99248602434983</v>
      </c>
      <c r="C14" s="2">
        <v>61.1910618828949</v>
      </c>
      <c r="D14" s="15">
        <f>+IPC_trim!J14</f>
        <v>226.18166565724164</v>
      </c>
      <c r="E14">
        <f t="shared" si="0"/>
        <v>93.726644645727276</v>
      </c>
    </row>
    <row r="15" spans="1:5" x14ac:dyDescent="0.3">
      <c r="A15" s="13">
        <v>42185</v>
      </c>
      <c r="B15" s="14">
        <f t="shared" si="1"/>
        <v>227.29330803345093</v>
      </c>
      <c r="C15" s="2">
        <v>65.607603072522366</v>
      </c>
      <c r="D15" s="15">
        <f>+IPC_trim!J15</f>
        <v>238.92249616968576</v>
      </c>
      <c r="E15">
        <f t="shared" si="0"/>
        <v>95.132652503355885</v>
      </c>
    </row>
    <row r="16" spans="1:5" x14ac:dyDescent="0.3">
      <c r="A16" s="12">
        <v>42277</v>
      </c>
      <c r="B16" s="14">
        <f t="shared" si="1"/>
        <v>249.42582642149506</v>
      </c>
      <c r="C16" s="2">
        <v>71.996095078562433</v>
      </c>
      <c r="D16" s="15">
        <f>+IPC_trim!J16</f>
        <v>253.02884839977241</v>
      </c>
      <c r="E16">
        <f t="shared" si="0"/>
        <v>98.576043008113928</v>
      </c>
    </row>
    <row r="17" spans="1:5" x14ac:dyDescent="0.3">
      <c r="A17" s="13">
        <v>42369</v>
      </c>
      <c r="B17" s="14">
        <f t="shared" si="1"/>
        <v>263.0066206467535</v>
      </c>
      <c r="C17" s="2">
        <v>75.916154866724909</v>
      </c>
      <c r="D17" s="15">
        <f>+IPC_trim!J17</f>
        <v>273.15374937000615</v>
      </c>
      <c r="E17">
        <f t="shared" si="0"/>
        <v>96.285195152306827</v>
      </c>
    </row>
    <row r="18" spans="1:5" x14ac:dyDescent="0.3">
      <c r="A18" s="12">
        <v>42460</v>
      </c>
      <c r="B18" s="14">
        <f t="shared" si="1"/>
        <v>276.83660287589265</v>
      </c>
      <c r="C18" s="2">
        <v>79.908142103128128</v>
      </c>
      <c r="D18" s="15">
        <f>+IPC_trim!J18</f>
        <v>307.84079788456535</v>
      </c>
      <c r="E18">
        <f t="shared" si="0"/>
        <v>89.928497060256873</v>
      </c>
    </row>
    <row r="19" spans="1:5" x14ac:dyDescent="0.3">
      <c r="A19" s="13">
        <v>42551</v>
      </c>
      <c r="B19" s="14">
        <f t="shared" si="1"/>
        <v>304.19991395817078</v>
      </c>
      <c r="C19" s="2">
        <v>87.806488375477898</v>
      </c>
      <c r="D19" s="15">
        <f>+IPC_trim!J19</f>
        <v>338.20478166347442</v>
      </c>
      <c r="E19">
        <f t="shared" si="0"/>
        <v>89.94547991366376</v>
      </c>
    </row>
    <row r="20" spans="1:5" x14ac:dyDescent="0.3">
      <c r="A20" s="12">
        <v>42643</v>
      </c>
      <c r="B20" s="14">
        <f t="shared" si="1"/>
        <v>332.18546324861347</v>
      </c>
      <c r="C20" s="2">
        <v>95.884442035880681</v>
      </c>
      <c r="D20" s="15">
        <f>+IPC_trim!J20</f>
        <v>357.44325861574254</v>
      </c>
      <c r="E20">
        <f t="shared" si="0"/>
        <v>92.933760881393042</v>
      </c>
    </row>
    <row r="21" spans="1:5" x14ac:dyDescent="0.3">
      <c r="A21" s="13">
        <v>42735</v>
      </c>
      <c r="B21" s="14">
        <f t="shared" si="1"/>
        <v>351.29375796758291</v>
      </c>
      <c r="C21" s="2">
        <v>101.39999999999999</v>
      </c>
      <c r="D21" s="15">
        <f>+IPC_trim!J21</f>
        <v>373.87332806352794</v>
      </c>
      <c r="E21">
        <f t="shared" si="0"/>
        <v>93.960636290131845</v>
      </c>
    </row>
    <row r="22" spans="1:5" x14ac:dyDescent="0.3">
      <c r="A22" s="12">
        <v>42825</v>
      </c>
      <c r="B22" s="14">
        <f t="shared" si="1"/>
        <v>368.33878054352482</v>
      </c>
      <c r="C22" s="2">
        <v>106.32</v>
      </c>
      <c r="D22" s="15">
        <f>+IPC_trim!J22</f>
        <v>391.9834757973569</v>
      </c>
      <c r="E22">
        <f t="shared" si="0"/>
        <v>93.967935713173873</v>
      </c>
    </row>
    <row r="23" spans="1:5" x14ac:dyDescent="0.3">
      <c r="A23" s="13">
        <v>42916</v>
      </c>
      <c r="B23" s="14">
        <f t="shared" si="1"/>
        <v>396.68941091204607</v>
      </c>
      <c r="C23" s="2">
        <v>114.50333333333333</v>
      </c>
      <c r="D23" s="15">
        <f>+IPC_trim!J23</f>
        <v>417.03315841896068</v>
      </c>
      <c r="E23">
        <f t="shared" si="0"/>
        <v>95.121791374086172</v>
      </c>
    </row>
    <row r="24" spans="1:5" x14ac:dyDescent="0.3">
      <c r="A24" s="12">
        <v>43008</v>
      </c>
      <c r="B24" s="14">
        <f t="shared" si="1"/>
        <v>428.15803321519076</v>
      </c>
      <c r="C24" s="2">
        <v>123.58666666666666</v>
      </c>
      <c r="D24" s="15">
        <f>+IPC_trim!J24</f>
        <v>436.54421774734533</v>
      </c>
      <c r="E24">
        <f t="shared" si="0"/>
        <v>98.078961032761143</v>
      </c>
    </row>
    <row r="25" spans="1:5" x14ac:dyDescent="0.3">
      <c r="A25" s="13">
        <v>43100</v>
      </c>
      <c r="B25" s="14">
        <f t="shared" si="1"/>
        <v>448.36724019886179</v>
      </c>
      <c r="C25" s="2">
        <v>129.41999999999999</v>
      </c>
      <c r="D25" s="15">
        <f>+IPC_trim!J25</f>
        <v>459.70573333717005</v>
      </c>
      <c r="E25">
        <f t="shared" si="0"/>
        <v>97.533532362975322</v>
      </c>
    </row>
    <row r="26" spans="1:5" x14ac:dyDescent="0.3">
      <c r="A26" s="12">
        <v>43190</v>
      </c>
      <c r="B26" s="14">
        <f t="shared" si="1"/>
        <v>464.47686519441663</v>
      </c>
      <c r="C26" s="2">
        <v>134.07</v>
      </c>
      <c r="D26" s="15">
        <f>+IPC_trim!J26</f>
        <v>491.17518386682309</v>
      </c>
      <c r="E26">
        <f t="shared" si="0"/>
        <v>94.564399923012914</v>
      </c>
    </row>
    <row r="27" spans="1:5" x14ac:dyDescent="0.3">
      <c r="A27" s="13">
        <v>43281</v>
      </c>
      <c r="B27" s="14">
        <f t="shared" si="1"/>
        <v>490.65644932697774</v>
      </c>
      <c r="C27" s="2">
        <v>141.62666666666667</v>
      </c>
      <c r="D27" s="15">
        <f>+IPC_trim!J27</f>
        <v>530.19730252359261</v>
      </c>
      <c r="E27">
        <f t="shared" si="0"/>
        <v>92.542237953982166</v>
      </c>
    </row>
    <row r="28" spans="1:5" x14ac:dyDescent="0.3">
      <c r="A28" s="12">
        <v>43373</v>
      </c>
      <c r="B28" s="14">
        <f t="shared" si="1"/>
        <v>523.58013453294689</v>
      </c>
      <c r="C28" s="2">
        <v>151.13000000000002</v>
      </c>
      <c r="D28" s="15">
        <f>+IPC_trim!J28</f>
        <v>591.12215874900062</v>
      </c>
      <c r="E28">
        <f t="shared" si="0"/>
        <v>88.573931256613051</v>
      </c>
    </row>
    <row r="29" spans="1:5" x14ac:dyDescent="0.3">
      <c r="A29" s="13">
        <v>43465</v>
      </c>
      <c r="B29" s="14">
        <f t="shared" si="1"/>
        <v>573.81444903521469</v>
      </c>
      <c r="C29" s="2">
        <v>165.63000000000002</v>
      </c>
      <c r="D29" s="15">
        <f>+IPC_trim!J29</f>
        <v>677.22257539813108</v>
      </c>
      <c r="E29">
        <f t="shared" si="0"/>
        <v>84.730555341849907</v>
      </c>
    </row>
    <row r="30" spans="1:5" x14ac:dyDescent="0.3">
      <c r="A30" s="12">
        <v>43555</v>
      </c>
      <c r="B30" s="14">
        <f t="shared" si="1"/>
        <v>625.87336622515102</v>
      </c>
      <c r="C30" s="2">
        <v>180.65666666666667</v>
      </c>
      <c r="D30" s="15">
        <f>+IPC_trim!J30</f>
        <v>745.70009975065591</v>
      </c>
      <c r="E30">
        <f t="shared" si="0"/>
        <v>83.93097525860972</v>
      </c>
    </row>
    <row r="31" spans="1:5" x14ac:dyDescent="0.3">
      <c r="A31" s="13">
        <v>43646</v>
      </c>
      <c r="B31" s="14">
        <f t="shared" si="1"/>
        <v>679.09864336100202</v>
      </c>
      <c r="C31" s="2">
        <v>196.01999999999998</v>
      </c>
      <c r="D31" s="15">
        <f>+IPC_trim!J31</f>
        <v>828.5276935447024</v>
      </c>
      <c r="E31">
        <f t="shared" si="0"/>
        <v>81.964507481410081</v>
      </c>
    </row>
    <row r="32" spans="1:5" x14ac:dyDescent="0.3">
      <c r="A32" s="12">
        <v>43738</v>
      </c>
      <c r="B32" s="14">
        <f t="shared" si="1"/>
        <v>745.65044898779968</v>
      </c>
      <c r="C32" s="2">
        <v>215.23000000000002</v>
      </c>
      <c r="D32" s="15">
        <f>+IPC_trim!J32</f>
        <v>911.10353173451165</v>
      </c>
      <c r="E32">
        <f t="shared" si="0"/>
        <v>81.840364241401744</v>
      </c>
    </row>
    <row r="33" spans="1:5" x14ac:dyDescent="0.3">
      <c r="A33" s="13">
        <v>43830</v>
      </c>
      <c r="B33" s="14">
        <f t="shared" si="1"/>
        <v>809.15355138963196</v>
      </c>
      <c r="C33" s="2">
        <v>233.56000000000003</v>
      </c>
      <c r="D33" s="15">
        <f>+IPC_trim!J33</f>
        <v>1030.5615659450741</v>
      </c>
      <c r="E33">
        <f t="shared" si="0"/>
        <v>78.515789655671824</v>
      </c>
    </row>
    <row r="34" spans="1:5" x14ac:dyDescent="0.3">
      <c r="A34" s="12">
        <v>43921</v>
      </c>
      <c r="B34" s="14">
        <f t="shared" si="1"/>
        <v>911.04259894216261</v>
      </c>
      <c r="C34" s="2">
        <v>262.97000000000003</v>
      </c>
      <c r="D34" s="15">
        <f>+IPC_trim!J34</f>
        <v>1121.697094678949</v>
      </c>
      <c r="E34">
        <f t="shared" ref="E34:E55" si="2">+(B34/D34)*100</f>
        <v>81.220019492242713</v>
      </c>
    </row>
    <row r="35" spans="1:5" x14ac:dyDescent="0.3">
      <c r="A35" s="13">
        <v>44012</v>
      </c>
      <c r="B35" s="14">
        <f t="shared" si="1"/>
        <v>943.87389920192049</v>
      </c>
      <c r="C35" s="2">
        <v>272.44666666666666</v>
      </c>
      <c r="D35" s="15">
        <f>+IPC_trim!J35</f>
        <v>1192.062786063253</v>
      </c>
      <c r="E35">
        <f t="shared" si="2"/>
        <v>79.179881314727723</v>
      </c>
    </row>
    <row r="36" spans="1:5" x14ac:dyDescent="0.3">
      <c r="A36" s="12">
        <v>44104</v>
      </c>
      <c r="B36" s="14">
        <f t="shared" si="1"/>
        <v>985.41248064207173</v>
      </c>
      <c r="C36" s="2">
        <v>284.43666666666667</v>
      </c>
      <c r="D36" s="15">
        <f>+IPC_trim!J36</f>
        <v>1273.7574796382321</v>
      </c>
      <c r="E36">
        <f t="shared" si="2"/>
        <v>77.362645275452664</v>
      </c>
    </row>
    <row r="37" spans="1:5" x14ac:dyDescent="0.3">
      <c r="A37" s="13">
        <v>44196</v>
      </c>
      <c r="B37" s="14">
        <f t="shared" si="1"/>
        <v>1078.9175943259481</v>
      </c>
      <c r="C37" s="2">
        <v>311.42666666666668</v>
      </c>
      <c r="D37" s="15">
        <f>+IPC_trim!J37</f>
        <v>1405.5515384564185</v>
      </c>
      <c r="E37">
        <f t="shared" si="2"/>
        <v>76.761154949239298</v>
      </c>
    </row>
    <row r="38" spans="1:5" x14ac:dyDescent="0.3">
      <c r="A38" s="12">
        <v>44286</v>
      </c>
      <c r="B38" s="14">
        <f t="shared" si="1"/>
        <v>1191.9736722517414</v>
      </c>
      <c r="C38" s="2">
        <v>344.05999999999995</v>
      </c>
      <c r="D38" s="15">
        <f>+IPC_trim!J38</f>
        <v>1577.6264939525606</v>
      </c>
      <c r="E38">
        <f t="shared" si="2"/>
        <v>75.554871626514668</v>
      </c>
    </row>
    <row r="39" spans="1:5" x14ac:dyDescent="0.3">
      <c r="A39" s="13">
        <v>44377</v>
      </c>
      <c r="B39" s="14">
        <f t="shared" si="1"/>
        <v>1322.7445636135071</v>
      </c>
      <c r="C39" s="2">
        <v>381.80666666666667</v>
      </c>
      <c r="D39" s="15">
        <f>+IPC_trim!J39</f>
        <v>1769.8418977876809</v>
      </c>
      <c r="E39">
        <f t="shared" si="2"/>
        <v>74.738007121819777</v>
      </c>
    </row>
    <row r="40" spans="1:5" x14ac:dyDescent="0.3">
      <c r="A40" s="12">
        <v>44469</v>
      </c>
      <c r="B40" s="14">
        <f t="shared" si="1"/>
        <v>1471.3688458305614</v>
      </c>
      <c r="C40" s="2">
        <v>424.70666666666665</v>
      </c>
      <c r="D40" s="15">
        <f>+IPC_trim!J40</f>
        <v>1934.7418185630622</v>
      </c>
      <c r="E40">
        <f t="shared" si="2"/>
        <v>76.049880749636714</v>
      </c>
    </row>
    <row r="41" spans="1:5" x14ac:dyDescent="0.3">
      <c r="A41" s="13">
        <v>44561</v>
      </c>
      <c r="B41" s="14">
        <f t="shared" si="1"/>
        <v>1642.7313729338148</v>
      </c>
      <c r="C41" s="2">
        <v>474.17</v>
      </c>
      <c r="D41" s="15">
        <f>+IPC_trim!J41</f>
        <v>2127.9642448151312</v>
      </c>
      <c r="E41">
        <f t="shared" si="2"/>
        <v>77.197320252743651</v>
      </c>
    </row>
    <row r="42" spans="1:5" x14ac:dyDescent="0.3">
      <c r="A42" s="12">
        <v>44651</v>
      </c>
      <c r="B42" s="14">
        <f t="shared" si="1"/>
        <v>1836.6127306760156</v>
      </c>
      <c r="C42" s="2">
        <v>530.13333333333333</v>
      </c>
      <c r="D42" s="15">
        <f>+IPC_trim!J42</f>
        <v>2409.930521560821</v>
      </c>
      <c r="E42">
        <f t="shared" si="2"/>
        <v>76.210194204541253</v>
      </c>
    </row>
    <row r="43" spans="1:5" x14ac:dyDescent="0.3">
      <c r="A43" s="13">
        <v>44742</v>
      </c>
      <c r="B43" s="14">
        <f t="shared" si="1"/>
        <v>2160.1679085437254</v>
      </c>
      <c r="C43" s="2">
        <v>623.52666666666664</v>
      </c>
      <c r="D43" s="15">
        <f>+IPC_trim!J43</f>
        <v>2848.6146619441834</v>
      </c>
      <c r="E43">
        <f t="shared" si="2"/>
        <v>75.832226008041673</v>
      </c>
    </row>
    <row r="44" spans="1:5" x14ac:dyDescent="0.3">
      <c r="A44" s="12">
        <v>44834</v>
      </c>
      <c r="B44" s="14">
        <f t="shared" si="1"/>
        <v>2560.0561482183298</v>
      </c>
      <c r="C44" s="2">
        <v>738.95333333333338</v>
      </c>
      <c r="D44" s="15">
        <f>+IPC_trim!J44</f>
        <v>3436.7157534423368</v>
      </c>
      <c r="E44">
        <f t="shared" si="2"/>
        <v>74.491355464998421</v>
      </c>
    </row>
    <row r="45" spans="1:5" x14ac:dyDescent="0.3">
      <c r="A45" s="13">
        <v>44926</v>
      </c>
      <c r="B45" s="14">
        <f t="shared" si="1"/>
        <v>3048.8879948576391</v>
      </c>
      <c r="C45" s="2">
        <v>880.05333333333328</v>
      </c>
      <c r="D45" s="15">
        <f>+IPC_trim!J45</f>
        <v>4081.7136114981031</v>
      </c>
      <c r="E45">
        <f t="shared" si="2"/>
        <v>74.696274287078452</v>
      </c>
    </row>
    <row r="46" spans="1:5" x14ac:dyDescent="0.3">
      <c r="A46" s="12">
        <v>45016</v>
      </c>
      <c r="B46" s="14">
        <f t="shared" si="1"/>
        <v>3627.4140761496178</v>
      </c>
      <c r="C46" s="2">
        <v>1047.0433333333333</v>
      </c>
      <c r="D46" s="15">
        <f>+IPC_trim!J46</f>
        <v>4867.5687301245962</v>
      </c>
      <c r="E46">
        <f t="shared" si="2"/>
        <v>74.522092594196735</v>
      </c>
    </row>
    <row r="47" spans="1:5" x14ac:dyDescent="0.3">
      <c r="A47" s="13">
        <v>45107</v>
      </c>
      <c r="B47" s="14">
        <f t="shared" si="1"/>
        <v>4457.1810186625935</v>
      </c>
      <c r="C47" s="2">
        <v>1286.5533333333333</v>
      </c>
      <c r="D47" s="15">
        <f>+IPC_trim!J47</f>
        <v>6067.8135733255594</v>
      </c>
      <c r="E47">
        <f t="shared" si="2"/>
        <v>73.456129869523437</v>
      </c>
    </row>
    <row r="48" spans="1:5" x14ac:dyDescent="0.3">
      <c r="A48" s="12">
        <v>45199</v>
      </c>
      <c r="B48" s="14">
        <f t="shared" si="1"/>
        <v>5752.2562908858863</v>
      </c>
      <c r="C48" s="2">
        <v>1660.3733333333332</v>
      </c>
      <c r="D48" s="15">
        <f>+IPC_trim!J48</f>
        <v>7763.2616900611392</v>
      </c>
      <c r="E48">
        <f t="shared" si="2"/>
        <v>74.095870016209446</v>
      </c>
    </row>
    <row r="49" spans="1:5" x14ac:dyDescent="0.3">
      <c r="A49" s="13">
        <v>45291</v>
      </c>
      <c r="B49" s="14">
        <f t="shared" si="1"/>
        <v>7488.8738654066983</v>
      </c>
      <c r="C49" s="2">
        <v>2161.6433333333334</v>
      </c>
      <c r="D49" s="15">
        <f>+IPC_trim!J49</f>
        <v>11134.646864203916</v>
      </c>
      <c r="E49">
        <f t="shared" si="2"/>
        <v>67.257398970435361</v>
      </c>
    </row>
    <row r="50" spans="1:5" x14ac:dyDescent="0.3">
      <c r="A50" s="12">
        <v>45382</v>
      </c>
      <c r="B50" s="14">
        <f t="shared" si="1"/>
        <v>10683.753171514378</v>
      </c>
      <c r="C50" s="2">
        <v>3083.8366666666666</v>
      </c>
      <c r="D50" s="15">
        <f>+IPC_trim!J50</f>
        <v>18182.293249220751</v>
      </c>
      <c r="E50">
        <f t="shared" si="2"/>
        <v>58.759107143826625</v>
      </c>
    </row>
    <row r="51" spans="1:5" x14ac:dyDescent="0.3">
      <c r="A51" s="13">
        <v>45473</v>
      </c>
      <c r="B51" s="14">
        <f t="shared" si="1"/>
        <v>14055.595842089355</v>
      </c>
      <c r="C51" s="2">
        <v>4057.1100000000006</v>
      </c>
      <c r="D51" s="15">
        <f>+IPC_trim!J51</f>
        <v>22979.74804356528</v>
      </c>
      <c r="E51">
        <f t="shared" si="2"/>
        <v>61.165143392532372</v>
      </c>
    </row>
    <row r="52" spans="1:5" x14ac:dyDescent="0.3">
      <c r="A52" s="12">
        <v>45565</v>
      </c>
      <c r="B52" s="14">
        <f t="shared" si="1"/>
        <v>16995.434956063109</v>
      </c>
      <c r="C52" s="2">
        <v>4905.6866666666674</v>
      </c>
      <c r="D52" s="15">
        <f>+IPC_trim!J52</f>
        <v>25947.568984115787</v>
      </c>
      <c r="E52">
        <f t="shared" si="2"/>
        <v>65.499141620808999</v>
      </c>
    </row>
    <row r="53" spans="1:5" x14ac:dyDescent="0.3">
      <c r="A53" s="13">
        <v>45657</v>
      </c>
      <c r="B53" s="14">
        <f t="shared" si="1"/>
        <v>19332.127400579629</v>
      </c>
      <c r="C53" s="2">
        <v>5580.166666666667</v>
      </c>
      <c r="D53" s="15">
        <f>+IPC_trim!J53</f>
        <v>28321.750209874925</v>
      </c>
      <c r="E53">
        <f t="shared" si="2"/>
        <v>68.258943240870437</v>
      </c>
    </row>
    <row r="54" spans="1:5" x14ac:dyDescent="0.3">
      <c r="A54" s="12">
        <v>45747</v>
      </c>
      <c r="B54" s="14">
        <f t="shared" si="1"/>
        <v>21295.653951113098</v>
      </c>
      <c r="C54" s="2">
        <v>6146.9333333333343</v>
      </c>
      <c r="D54" s="15">
        <f>+IPC_trim!J54</f>
        <v>30551.046085395541</v>
      </c>
      <c r="E54">
        <f t="shared" si="2"/>
        <v>69.705154748508463</v>
      </c>
    </row>
    <row r="55" spans="1:5" x14ac:dyDescent="0.3">
      <c r="A55" s="13">
        <v>45838</v>
      </c>
      <c r="B55" s="14">
        <f t="shared" si="1"/>
        <v>23409.179009938511</v>
      </c>
      <c r="C55" s="2">
        <v>6756.9966666666669</v>
      </c>
      <c r="D55" s="15">
        <f>+IPC_trim!J55</f>
        <v>32924.220288737721</v>
      </c>
      <c r="E55">
        <f t="shared" si="2"/>
        <v>71.100177330383161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1EA5-8E76-4B65-AF45-543ED28747A4}">
  <dimension ref="D2:L164"/>
  <sheetViews>
    <sheetView workbookViewId="0">
      <selection activeCell="I29" sqref="I4:I57"/>
    </sheetView>
  </sheetViews>
  <sheetFormatPr baseColWidth="10" defaultColWidth="11.44140625" defaultRowHeight="14.4" x14ac:dyDescent="0.3"/>
  <cols>
    <col min="5" max="5" width="20" customWidth="1"/>
    <col min="6" max="6" width="19.109375" customWidth="1"/>
    <col min="8" max="8" width="17.88671875" bestFit="1" customWidth="1"/>
    <col min="9" max="9" width="21.44140625" bestFit="1" customWidth="1"/>
    <col min="10" max="10" width="30.109375" bestFit="1" customWidth="1"/>
    <col min="11" max="12" width="29.33203125" bestFit="1" customWidth="1"/>
  </cols>
  <sheetData>
    <row r="2" spans="4:12" x14ac:dyDescent="0.3">
      <c r="D2" t="s">
        <v>24</v>
      </c>
      <c r="E2" t="s">
        <v>25</v>
      </c>
      <c r="F2" t="s">
        <v>26</v>
      </c>
      <c r="L2" t="s">
        <v>27</v>
      </c>
    </row>
    <row r="3" spans="4:12" x14ac:dyDescent="0.3">
      <c r="D3" s="5">
        <v>40909</v>
      </c>
      <c r="E3" s="8">
        <v>94.532015069743522</v>
      </c>
      <c r="F3">
        <f t="shared" ref="F3:F36" si="0">+E3/$E$48*$F$48</f>
        <v>28.470289483924542</v>
      </c>
      <c r="H3" s="11" t="s">
        <v>28</v>
      </c>
      <c r="I3" s="11" t="s">
        <v>29</v>
      </c>
      <c r="J3" t="s">
        <v>30</v>
      </c>
    </row>
    <row r="4" spans="4:12" x14ac:dyDescent="0.3">
      <c r="D4" s="6">
        <v>40940</v>
      </c>
      <c r="E4" s="8">
        <v>95.727535557944009</v>
      </c>
      <c r="F4">
        <f t="shared" si="0"/>
        <v>28.830345432778685</v>
      </c>
      <c r="H4" t="s">
        <v>31</v>
      </c>
      <c r="I4" t="s">
        <v>32</v>
      </c>
      <c r="J4" s="2">
        <v>28.864731496127835</v>
      </c>
    </row>
    <row r="5" spans="4:12" x14ac:dyDescent="0.3">
      <c r="D5" s="6">
        <v>40969</v>
      </c>
      <c r="E5" s="8">
        <v>97.265579840348948</v>
      </c>
      <c r="F5">
        <f t="shared" si="0"/>
        <v>29.293559571680277</v>
      </c>
      <c r="I5" t="s">
        <v>33</v>
      </c>
      <c r="J5" s="2">
        <v>30.790049954052105</v>
      </c>
    </row>
    <row r="6" spans="4:12" x14ac:dyDescent="0.3">
      <c r="D6" s="6">
        <v>41000</v>
      </c>
      <c r="E6" s="8">
        <v>99.999514752773806</v>
      </c>
      <c r="F6">
        <f t="shared" si="0"/>
        <v>30.116941135370823</v>
      </c>
      <c r="I6" t="s">
        <v>34</v>
      </c>
      <c r="J6" s="2">
        <v>32.841348585854405</v>
      </c>
    </row>
    <row r="7" spans="4:12" x14ac:dyDescent="0.3">
      <c r="D7" s="6">
        <v>41030</v>
      </c>
      <c r="E7" s="8">
        <v>102.345105</v>
      </c>
      <c r="F7">
        <f t="shared" si="0"/>
        <v>30.82336459730519</v>
      </c>
      <c r="I7" t="s">
        <v>35</v>
      </c>
      <c r="J7" s="2">
        <v>34.50086153371381</v>
      </c>
    </row>
    <row r="8" spans="4:12" x14ac:dyDescent="0.3">
      <c r="D8" s="6">
        <v>41061</v>
      </c>
      <c r="E8" s="8">
        <v>104.358844</v>
      </c>
      <c r="F8">
        <f t="shared" si="0"/>
        <v>31.429844129480301</v>
      </c>
      <c r="H8" t="s">
        <v>36</v>
      </c>
      <c r="I8" t="s">
        <v>32</v>
      </c>
      <c r="J8" s="2">
        <v>35.770203187366583</v>
      </c>
    </row>
    <row r="9" spans="4:12" x14ac:dyDescent="0.3">
      <c r="D9" s="6">
        <v>41091</v>
      </c>
      <c r="E9" s="8">
        <v>107.02364700000001</v>
      </c>
      <c r="F9">
        <f t="shared" si="0"/>
        <v>32.232405174769106</v>
      </c>
      <c r="I9" t="s">
        <v>33</v>
      </c>
      <c r="J9" s="2">
        <v>38.431829610380852</v>
      </c>
    </row>
    <row r="10" spans="4:12" x14ac:dyDescent="0.3">
      <c r="D10" s="6">
        <v>41122</v>
      </c>
      <c r="E10" s="8">
        <v>109.318668</v>
      </c>
      <c r="F10">
        <f t="shared" si="0"/>
        <v>32.923598652380683</v>
      </c>
      <c r="I10" t="s">
        <v>34</v>
      </c>
      <c r="J10" s="2">
        <v>41.168206321700836</v>
      </c>
    </row>
    <row r="11" spans="4:12" x14ac:dyDescent="0.3">
      <c r="D11" s="6">
        <v>41153</v>
      </c>
      <c r="E11" s="8">
        <v>110.794386</v>
      </c>
      <c r="F11">
        <f t="shared" si="0"/>
        <v>33.368041930413433</v>
      </c>
      <c r="I11" t="s">
        <v>35</v>
      </c>
      <c r="J11" s="2">
        <v>43.475173500398476</v>
      </c>
    </row>
    <row r="12" spans="4:12" x14ac:dyDescent="0.3">
      <c r="D12" s="6">
        <v>41183</v>
      </c>
      <c r="E12" s="8">
        <v>112.29013999999999</v>
      </c>
      <c r="F12">
        <f t="shared" si="0"/>
        <v>33.818519468053147</v>
      </c>
      <c r="H12" t="s">
        <v>37</v>
      </c>
      <c r="I12" t="s">
        <v>32</v>
      </c>
      <c r="J12" s="2">
        <v>46.006057210217456</v>
      </c>
    </row>
    <row r="13" spans="4:12" x14ac:dyDescent="0.3">
      <c r="D13" s="6">
        <v>41214</v>
      </c>
      <c r="E13" s="8">
        <v>114.89276199999999</v>
      </c>
      <c r="F13">
        <f t="shared" si="0"/>
        <v>34.602353407301798</v>
      </c>
      <c r="I13" t="s">
        <v>33</v>
      </c>
      <c r="J13" s="2">
        <v>51.096296572455593</v>
      </c>
    </row>
    <row r="14" spans="4:12" x14ac:dyDescent="0.3">
      <c r="D14" s="6">
        <v>41244</v>
      </c>
      <c r="E14" s="8">
        <v>116.48441100000001</v>
      </c>
      <c r="F14">
        <f t="shared" si="0"/>
        <v>35.081711725786469</v>
      </c>
      <c r="I14" t="s">
        <v>34</v>
      </c>
      <c r="J14" s="2">
        <v>55.579650139548953</v>
      </c>
    </row>
    <row r="15" spans="4:12" x14ac:dyDescent="0.3">
      <c r="D15" s="6">
        <v>41275</v>
      </c>
      <c r="E15" s="8">
        <v>117.207531</v>
      </c>
      <c r="F15">
        <f t="shared" si="0"/>
        <v>35.299494407308984</v>
      </c>
      <c r="I15" t="s">
        <v>35</v>
      </c>
      <c r="J15" s="2">
        <v>58.321441593749775</v>
      </c>
    </row>
    <row r="16" spans="4:12" x14ac:dyDescent="0.3">
      <c r="D16" s="6">
        <v>41306</v>
      </c>
      <c r="E16" s="8">
        <v>118.0295287043233</v>
      </c>
      <c r="F16">
        <f t="shared" si="0"/>
        <v>35.547056173340728</v>
      </c>
      <c r="H16" t="s">
        <v>38</v>
      </c>
      <c r="I16" t="s">
        <v>32</v>
      </c>
      <c r="J16" s="2">
        <v>61.1910618828949</v>
      </c>
    </row>
    <row r="17" spans="4:10" x14ac:dyDescent="0.3">
      <c r="D17" s="6">
        <v>41334</v>
      </c>
      <c r="E17" s="8">
        <v>121.07432118260607</v>
      </c>
      <c r="F17">
        <f t="shared" si="0"/>
        <v>36.464058981450044</v>
      </c>
      <c r="I17" t="s">
        <v>33</v>
      </c>
      <c r="J17" s="2">
        <v>65.607603072522366</v>
      </c>
    </row>
    <row r="18" spans="4:10" x14ac:dyDescent="0.3">
      <c r="D18" s="6">
        <v>41365</v>
      </c>
      <c r="E18" s="8">
        <v>123.67204298175955</v>
      </c>
      <c r="F18">
        <f t="shared" si="0"/>
        <v>37.246417122932968</v>
      </c>
      <c r="I18" t="s">
        <v>34</v>
      </c>
      <c r="J18" s="2">
        <v>71.996095078562433</v>
      </c>
    </row>
    <row r="19" spans="4:10" x14ac:dyDescent="0.3">
      <c r="D19" s="6">
        <v>41395</v>
      </c>
      <c r="E19" s="8">
        <v>128.24042879794416</v>
      </c>
      <c r="F19">
        <f t="shared" si="0"/>
        <v>38.622281866375424</v>
      </c>
      <c r="I19" t="s">
        <v>35</v>
      </c>
      <c r="J19" s="2">
        <v>75.916154866724909</v>
      </c>
    </row>
    <row r="20" spans="4:10" x14ac:dyDescent="0.3">
      <c r="D20" s="6">
        <v>41426</v>
      </c>
      <c r="E20" s="8">
        <v>130.911696334677</v>
      </c>
      <c r="F20">
        <f t="shared" si="0"/>
        <v>39.426789841834164</v>
      </c>
      <c r="H20" t="s">
        <v>39</v>
      </c>
      <c r="I20" t="s">
        <v>32</v>
      </c>
      <c r="J20" s="2">
        <v>79.908142103128128</v>
      </c>
    </row>
    <row r="21" spans="4:10" x14ac:dyDescent="0.3">
      <c r="D21" s="6">
        <v>41456</v>
      </c>
      <c r="E21" s="8">
        <v>133.929789</v>
      </c>
      <c r="F21">
        <f t="shared" si="0"/>
        <v>40.335751443971397</v>
      </c>
      <c r="I21" t="s">
        <v>33</v>
      </c>
      <c r="J21" s="2">
        <v>87.806488375477898</v>
      </c>
    </row>
    <row r="22" spans="4:10" x14ac:dyDescent="0.3">
      <c r="D22" s="6">
        <v>41487</v>
      </c>
      <c r="E22" s="8">
        <v>136.47143025151402</v>
      </c>
      <c r="F22">
        <f t="shared" si="0"/>
        <v>41.10121975797594</v>
      </c>
      <c r="I22" t="s">
        <v>34</v>
      </c>
      <c r="J22" s="2">
        <v>95.884442035880681</v>
      </c>
    </row>
    <row r="23" spans="4:10" x14ac:dyDescent="0.3">
      <c r="D23" s="6">
        <v>41518</v>
      </c>
      <c r="E23" s="8">
        <v>139.6803328796735</v>
      </c>
      <c r="F23">
        <f t="shared" si="0"/>
        <v>42.067647763155179</v>
      </c>
      <c r="I23" t="s">
        <v>35</v>
      </c>
      <c r="J23" s="2">
        <v>101.39999999999999</v>
      </c>
    </row>
    <row r="24" spans="4:10" x14ac:dyDescent="0.3">
      <c r="D24" s="6">
        <v>41548</v>
      </c>
      <c r="E24" s="8">
        <v>141.52180318351304</v>
      </c>
      <c r="F24">
        <f t="shared" si="0"/>
        <v>42.622244981755493</v>
      </c>
      <c r="H24" t="s">
        <v>40</v>
      </c>
      <c r="I24" t="s">
        <v>32</v>
      </c>
      <c r="J24" s="2">
        <v>106.32</v>
      </c>
    </row>
    <row r="25" spans="4:10" x14ac:dyDescent="0.3">
      <c r="D25" s="6">
        <v>41579</v>
      </c>
      <c r="E25" s="8">
        <v>144.91122285125465</v>
      </c>
      <c r="F25">
        <f t="shared" si="0"/>
        <v>43.643039461296809</v>
      </c>
      <c r="I25" t="s">
        <v>33</v>
      </c>
      <c r="J25" s="2">
        <v>114.50333333333333</v>
      </c>
    </row>
    <row r="26" spans="4:10" x14ac:dyDescent="0.3">
      <c r="D26" s="6">
        <v>41609</v>
      </c>
      <c r="E26" s="8">
        <v>146.62850909503175</v>
      </c>
      <c r="F26">
        <f t="shared" si="0"/>
        <v>44.16023605814312</v>
      </c>
      <c r="I26" t="s">
        <v>34</v>
      </c>
      <c r="J26" s="2">
        <v>123.58666666666666</v>
      </c>
    </row>
    <row r="27" spans="4:10" x14ac:dyDescent="0.3">
      <c r="D27" s="6">
        <v>41640</v>
      </c>
      <c r="E27" s="8">
        <v>149.17215602754115</v>
      </c>
      <c r="F27">
        <f t="shared" si="0"/>
        <v>44.926308424843548</v>
      </c>
      <c r="I27" t="s">
        <v>35</v>
      </c>
      <c r="J27" s="2">
        <v>129.41999999999999</v>
      </c>
    </row>
    <row r="28" spans="4:10" x14ac:dyDescent="0.3">
      <c r="D28" s="6">
        <v>41671</v>
      </c>
      <c r="E28" s="8">
        <v>152.33684437075482</v>
      </c>
      <c r="F28">
        <f t="shared" si="0"/>
        <v>45.87942037523645</v>
      </c>
      <c r="H28" t="s">
        <v>41</v>
      </c>
      <c r="I28" t="s">
        <v>32</v>
      </c>
      <c r="J28" s="2">
        <v>134.07</v>
      </c>
    </row>
    <row r="29" spans="4:10" x14ac:dyDescent="0.3">
      <c r="D29" s="6">
        <v>41699</v>
      </c>
      <c r="E29" s="8">
        <v>156.76297775823843</v>
      </c>
      <c r="F29">
        <f t="shared" si="0"/>
        <v>47.212442830572378</v>
      </c>
      <c r="I29" t="s">
        <v>33</v>
      </c>
      <c r="J29" s="2">
        <v>141.62666666666667</v>
      </c>
    </row>
    <row r="30" spans="4:10" x14ac:dyDescent="0.3">
      <c r="D30" s="6">
        <v>41730</v>
      </c>
      <c r="E30" s="8">
        <v>164.52121901965131</v>
      </c>
      <c r="F30">
        <f t="shared" si="0"/>
        <v>49.548999122486741</v>
      </c>
      <c r="I30" t="s">
        <v>34</v>
      </c>
      <c r="J30" s="2">
        <v>151.13000000000002</v>
      </c>
    </row>
    <row r="31" spans="4:10" x14ac:dyDescent="0.3">
      <c r="D31" s="6">
        <v>41760</v>
      </c>
      <c r="E31" s="8">
        <v>169.68180245934093</v>
      </c>
      <c r="F31">
        <f t="shared" si="0"/>
        <v>51.103216541056668</v>
      </c>
      <c r="I31" t="s">
        <v>35</v>
      </c>
      <c r="J31" s="2">
        <v>165.63000000000002</v>
      </c>
    </row>
    <row r="32" spans="4:10" x14ac:dyDescent="0.3">
      <c r="D32" s="6">
        <v>41791</v>
      </c>
      <c r="E32" s="8">
        <v>174.77345524311482</v>
      </c>
      <c r="F32">
        <f t="shared" si="0"/>
        <v>52.63667405382337</v>
      </c>
      <c r="H32" t="s">
        <v>42</v>
      </c>
      <c r="I32" t="s">
        <v>32</v>
      </c>
      <c r="J32" s="2">
        <v>180.65666666666667</v>
      </c>
    </row>
    <row r="33" spans="4:10" x14ac:dyDescent="0.3">
      <c r="D33" s="6">
        <v>41821</v>
      </c>
      <c r="E33" s="8">
        <v>180.7632207635686</v>
      </c>
      <c r="F33">
        <f t="shared" si="0"/>
        <v>54.440616963348099</v>
      </c>
      <c r="I33" t="s">
        <v>33</v>
      </c>
      <c r="J33" s="2">
        <v>196.01999999999998</v>
      </c>
    </row>
    <row r="34" spans="4:10" x14ac:dyDescent="0.3">
      <c r="D34" s="6">
        <v>41852</v>
      </c>
      <c r="E34" s="8">
        <v>184.8878936264795</v>
      </c>
      <c r="F34">
        <f t="shared" si="0"/>
        <v>55.682848289390648</v>
      </c>
      <c r="I34" t="s">
        <v>34</v>
      </c>
      <c r="J34" s="2">
        <v>215.23000000000002</v>
      </c>
    </row>
    <row r="35" spans="4:10" x14ac:dyDescent="0.3">
      <c r="D35" s="6">
        <v>41883</v>
      </c>
      <c r="E35" s="8">
        <v>187.98459706236576</v>
      </c>
      <c r="F35">
        <f t="shared" si="0"/>
        <v>56.61548516590809</v>
      </c>
      <c r="I35" t="s">
        <v>35</v>
      </c>
      <c r="J35" s="2">
        <v>233.56000000000003</v>
      </c>
    </row>
    <row r="36" spans="4:10" x14ac:dyDescent="0.3">
      <c r="D36" s="6">
        <v>41913</v>
      </c>
      <c r="E36" s="8">
        <v>190.91575837506286</v>
      </c>
      <c r="F36">
        <f t="shared" si="0"/>
        <v>57.49826557670329</v>
      </c>
      <c r="H36" t="s">
        <v>43</v>
      </c>
      <c r="I36" t="s">
        <v>32</v>
      </c>
      <c r="J36" s="2">
        <v>262.97000000000003</v>
      </c>
    </row>
    <row r="37" spans="4:10" x14ac:dyDescent="0.3">
      <c r="D37" s="6">
        <v>41944</v>
      </c>
      <c r="E37" s="8">
        <v>194.03766820502864</v>
      </c>
      <c r="F37">
        <f t="shared" ref="F37:F46" si="1">+E37/$E$48*$F$48</f>
        <v>58.438493884925222</v>
      </c>
      <c r="I37" t="s">
        <v>33</v>
      </c>
      <c r="J37" s="2">
        <v>272.44666666666666</v>
      </c>
    </row>
    <row r="38" spans="4:10" x14ac:dyDescent="0.3">
      <c r="D38" s="6">
        <v>41974</v>
      </c>
      <c r="E38" s="8">
        <v>195.99360580704149</v>
      </c>
      <c r="F38">
        <f t="shared" si="1"/>
        <v>59.02756531962082</v>
      </c>
      <c r="I38" t="s">
        <v>34</v>
      </c>
      <c r="J38" s="2">
        <v>284.43666666666667</v>
      </c>
    </row>
    <row r="39" spans="4:10" x14ac:dyDescent="0.3">
      <c r="D39" s="6">
        <v>42005</v>
      </c>
      <c r="E39" s="8">
        <v>199.8257992995255</v>
      </c>
      <c r="F39">
        <f t="shared" si="1"/>
        <v>60.181710378402627</v>
      </c>
      <c r="I39" t="s">
        <v>35</v>
      </c>
      <c r="J39" s="2">
        <v>311.42666666666668</v>
      </c>
    </row>
    <row r="40" spans="4:10" x14ac:dyDescent="0.3">
      <c r="D40" s="6">
        <v>42036</v>
      </c>
      <c r="E40" s="8">
        <v>201.66569207134734</v>
      </c>
      <c r="F40">
        <f t="shared" si="1"/>
        <v>60.735832490308326</v>
      </c>
      <c r="H40" t="s">
        <v>44</v>
      </c>
      <c r="I40" t="s">
        <v>32</v>
      </c>
      <c r="J40" s="2">
        <v>344.05999999999995</v>
      </c>
    </row>
    <row r="41" spans="4:10" x14ac:dyDescent="0.3">
      <c r="D41" s="6">
        <v>42064</v>
      </c>
      <c r="E41" s="8">
        <v>208.04018065307298</v>
      </c>
      <c r="F41">
        <f t="shared" si="1"/>
        <v>62.655642779973753</v>
      </c>
      <c r="I41" t="s">
        <v>33</v>
      </c>
      <c r="J41" s="2">
        <v>381.80666666666667</v>
      </c>
    </row>
    <row r="42" spans="4:10" x14ac:dyDescent="0.3">
      <c r="D42" s="6">
        <v>42095</v>
      </c>
      <c r="E42" s="8">
        <v>210.92470364796719</v>
      </c>
      <c r="F42">
        <f t="shared" si="1"/>
        <v>63.524377087891409</v>
      </c>
      <c r="I42" t="s">
        <v>34</v>
      </c>
      <c r="J42" s="2">
        <v>424.70666666666665</v>
      </c>
    </row>
    <row r="43" spans="4:10" x14ac:dyDescent="0.3">
      <c r="D43" s="6">
        <v>42125</v>
      </c>
      <c r="E43" s="8">
        <v>217.05013605891628</v>
      </c>
      <c r="F43">
        <f t="shared" si="1"/>
        <v>65.369178913233554</v>
      </c>
      <c r="I43" t="s">
        <v>35</v>
      </c>
      <c r="J43" s="2">
        <v>474.17</v>
      </c>
    </row>
    <row r="44" spans="4:10" x14ac:dyDescent="0.3">
      <c r="D44" s="6">
        <v>42156</v>
      </c>
      <c r="E44" s="8">
        <v>225.55054076141241</v>
      </c>
      <c r="F44">
        <f t="shared" si="1"/>
        <v>67.929253216442149</v>
      </c>
      <c r="H44" t="s">
        <v>45</v>
      </c>
      <c r="I44" t="s">
        <v>32</v>
      </c>
      <c r="J44" s="2">
        <v>530.13333333333333</v>
      </c>
    </row>
    <row r="45" spans="4:10" x14ac:dyDescent="0.3">
      <c r="D45" s="6">
        <v>42186</v>
      </c>
      <c r="E45" s="8">
        <v>233.48556905400631</v>
      </c>
      <c r="F45">
        <f t="shared" si="1"/>
        <v>70.319052612832962</v>
      </c>
      <c r="I45" t="s">
        <v>33</v>
      </c>
      <c r="J45" s="2">
        <v>623.52666666666664</v>
      </c>
    </row>
    <row r="46" spans="4:10" x14ac:dyDescent="0.3">
      <c r="D46" s="6">
        <v>42217</v>
      </c>
      <c r="E46" s="8">
        <v>239.65215789419534</v>
      </c>
      <c r="F46">
        <f t="shared" si="1"/>
        <v>72.176249555889697</v>
      </c>
      <c r="I46" t="s">
        <v>34</v>
      </c>
      <c r="J46" s="2">
        <v>738.95333333333338</v>
      </c>
    </row>
    <row r="47" spans="4:10" x14ac:dyDescent="0.3">
      <c r="D47" s="6">
        <v>42248</v>
      </c>
      <c r="E47" s="8">
        <v>244.0242058911802</v>
      </c>
      <c r="F47">
        <f>+E47/$E$48*$F$48</f>
        <v>73.492983066964626</v>
      </c>
      <c r="I47" t="s">
        <v>35</v>
      </c>
      <c r="J47" s="2">
        <v>880.05333333333328</v>
      </c>
    </row>
    <row r="48" spans="4:10" x14ac:dyDescent="0.3">
      <c r="D48" s="6">
        <v>42278</v>
      </c>
      <c r="E48" s="9">
        <v>246.99920872445574</v>
      </c>
      <c r="F48">
        <v>74.388967266776305</v>
      </c>
      <c r="H48" t="s">
        <v>46</v>
      </c>
      <c r="I48" t="s">
        <v>32</v>
      </c>
      <c r="J48" s="2">
        <v>1047.0433333333333</v>
      </c>
    </row>
    <row r="49" spans="4:10" x14ac:dyDescent="0.3">
      <c r="D49" s="6">
        <v>42309</v>
      </c>
      <c r="F49">
        <v>76.05920800978204</v>
      </c>
      <c r="I49" t="s">
        <v>33</v>
      </c>
      <c r="J49" s="2">
        <v>1286.5533333333333</v>
      </c>
    </row>
    <row r="50" spans="4:10" x14ac:dyDescent="0.3">
      <c r="D50" s="6">
        <v>42339</v>
      </c>
      <c r="F50">
        <v>77.300289323616397</v>
      </c>
      <c r="I50" t="s">
        <v>34</v>
      </c>
      <c r="J50" s="2">
        <v>1660.3733333333332</v>
      </c>
    </row>
    <row r="51" spans="4:10" x14ac:dyDescent="0.3">
      <c r="D51" s="6">
        <v>42370</v>
      </c>
      <c r="F51">
        <v>78.442408505473125</v>
      </c>
      <c r="I51" t="s">
        <v>35</v>
      </c>
      <c r="J51" s="2">
        <v>2161.6433333333334</v>
      </c>
    </row>
    <row r="52" spans="4:10" x14ac:dyDescent="0.3">
      <c r="D52" s="6">
        <v>42401</v>
      </c>
      <c r="F52">
        <v>79.481675007806885</v>
      </c>
      <c r="H52" t="s">
        <v>47</v>
      </c>
      <c r="I52" t="s">
        <v>32</v>
      </c>
      <c r="J52" s="2">
        <v>3083.8366666666666</v>
      </c>
    </row>
    <row r="53" spans="4:10" x14ac:dyDescent="0.3">
      <c r="D53" s="6">
        <v>42430</v>
      </c>
      <c r="F53">
        <v>81.800342796104374</v>
      </c>
      <c r="I53" t="s">
        <v>33</v>
      </c>
      <c r="J53" s="2">
        <v>4057.1100000000006</v>
      </c>
    </row>
    <row r="54" spans="4:10" x14ac:dyDescent="0.3">
      <c r="D54" s="6">
        <v>42461</v>
      </c>
      <c r="F54">
        <v>85.365751000248324</v>
      </c>
      <c r="I54" t="s">
        <v>34</v>
      </c>
      <c r="J54" s="2">
        <v>4905.6866666666674</v>
      </c>
    </row>
    <row r="55" spans="4:10" x14ac:dyDescent="0.3">
      <c r="D55" s="6">
        <v>42491</v>
      </c>
      <c r="F55">
        <v>88.195213769451726</v>
      </c>
      <c r="I55" t="s">
        <v>35</v>
      </c>
      <c r="J55" s="2">
        <v>5580.166666666667</v>
      </c>
    </row>
    <row r="56" spans="4:10" x14ac:dyDescent="0.3">
      <c r="D56" s="6">
        <v>42522</v>
      </c>
      <c r="F56">
        <v>89.858500356733671</v>
      </c>
      <c r="H56" t="s">
        <v>48</v>
      </c>
      <c r="I56" t="s">
        <v>32</v>
      </c>
      <c r="J56" s="2">
        <v>6146.9333333333343</v>
      </c>
    </row>
    <row r="57" spans="4:10" x14ac:dyDescent="0.3">
      <c r="D57" s="6">
        <v>42552</v>
      </c>
      <c r="F57">
        <v>93.789412064810733</v>
      </c>
      <c r="I57" t="s">
        <v>33</v>
      </c>
      <c r="J57" s="2">
        <v>6756.9966666666669</v>
      </c>
    </row>
    <row r="58" spans="4:10" x14ac:dyDescent="0.3">
      <c r="D58" s="6">
        <v>42583</v>
      </c>
      <c r="F58">
        <v>96.284661706342476</v>
      </c>
      <c r="H58" t="s">
        <v>49</v>
      </c>
      <c r="J58" s="2">
        <v>837.83967599606365</v>
      </c>
    </row>
    <row r="59" spans="4:10" x14ac:dyDescent="0.3">
      <c r="D59" s="6">
        <v>42614</v>
      </c>
      <c r="F59">
        <v>97.579252336488835</v>
      </c>
    </row>
    <row r="60" spans="4:10" x14ac:dyDescent="0.3">
      <c r="D60" s="6">
        <v>42644</v>
      </c>
      <c r="F60" s="10">
        <v>100</v>
      </c>
    </row>
    <row r="61" spans="4:10" x14ac:dyDescent="0.3">
      <c r="D61" s="6">
        <v>42675</v>
      </c>
      <c r="F61" s="10">
        <v>101.41</v>
      </c>
    </row>
    <row r="62" spans="4:10" x14ac:dyDescent="0.3">
      <c r="D62" s="6">
        <v>42705</v>
      </c>
      <c r="F62" s="10">
        <v>102.79</v>
      </c>
    </row>
    <row r="63" spans="4:10" x14ac:dyDescent="0.3">
      <c r="D63" s="6">
        <v>42736</v>
      </c>
      <c r="F63" s="10">
        <v>104.38</v>
      </c>
    </row>
    <row r="64" spans="4:10" x14ac:dyDescent="0.3">
      <c r="D64" s="6">
        <v>42767</v>
      </c>
      <c r="F64" s="10">
        <v>105.76</v>
      </c>
    </row>
    <row r="65" spans="4:6" x14ac:dyDescent="0.3">
      <c r="D65" s="6">
        <v>42795</v>
      </c>
      <c r="F65" s="10">
        <v>108.82</v>
      </c>
    </row>
    <row r="66" spans="4:6" x14ac:dyDescent="0.3">
      <c r="D66" s="6">
        <v>42826</v>
      </c>
      <c r="F66" s="10">
        <v>112.63</v>
      </c>
    </row>
    <row r="67" spans="4:6" x14ac:dyDescent="0.3">
      <c r="D67" s="6">
        <v>42856</v>
      </c>
      <c r="F67" s="10">
        <v>114.43</v>
      </c>
    </row>
    <row r="68" spans="4:6" x14ac:dyDescent="0.3">
      <c r="D68" s="6">
        <v>42887</v>
      </c>
      <c r="F68" s="10">
        <v>116.45</v>
      </c>
    </row>
    <row r="69" spans="4:6" x14ac:dyDescent="0.3">
      <c r="D69" s="6">
        <v>42917</v>
      </c>
      <c r="F69" s="10">
        <v>121.1</v>
      </c>
    </row>
    <row r="70" spans="4:6" x14ac:dyDescent="0.3">
      <c r="D70" s="6">
        <v>42948</v>
      </c>
      <c r="F70" s="10">
        <v>123.95</v>
      </c>
    </row>
    <row r="71" spans="4:6" x14ac:dyDescent="0.3">
      <c r="D71" s="6">
        <v>42979</v>
      </c>
      <c r="F71" s="10">
        <v>125.71</v>
      </c>
    </row>
    <row r="72" spans="4:6" x14ac:dyDescent="0.3">
      <c r="D72" s="6">
        <v>43009</v>
      </c>
      <c r="F72" s="10">
        <v>127.62</v>
      </c>
    </row>
    <row r="73" spans="4:6" x14ac:dyDescent="0.3">
      <c r="D73" s="6">
        <v>43040</v>
      </c>
      <c r="F73" s="10">
        <v>129.61000000000001</v>
      </c>
    </row>
    <row r="74" spans="4:6" x14ac:dyDescent="0.3">
      <c r="D74" s="6">
        <v>43070</v>
      </c>
      <c r="F74" s="10">
        <v>131.03</v>
      </c>
    </row>
    <row r="75" spans="4:6" x14ac:dyDescent="0.3">
      <c r="D75" s="6">
        <v>43101</v>
      </c>
      <c r="F75" s="10">
        <v>132.47999999999999</v>
      </c>
    </row>
    <row r="76" spans="4:6" x14ac:dyDescent="0.3">
      <c r="D76" s="6">
        <v>43132</v>
      </c>
      <c r="F76" s="10">
        <v>133.59</v>
      </c>
    </row>
    <row r="77" spans="4:6" x14ac:dyDescent="0.3">
      <c r="D77" s="6">
        <v>43160</v>
      </c>
      <c r="F77" s="10">
        <v>136.13999999999999</v>
      </c>
    </row>
    <row r="78" spans="4:6" x14ac:dyDescent="0.3">
      <c r="D78" s="6">
        <v>43191</v>
      </c>
      <c r="F78" s="10">
        <v>139.81</v>
      </c>
    </row>
    <row r="79" spans="4:6" x14ac:dyDescent="0.3">
      <c r="D79" s="6">
        <v>43221</v>
      </c>
      <c r="F79" s="10">
        <v>141.93</v>
      </c>
    </row>
    <row r="80" spans="4:6" x14ac:dyDescent="0.3">
      <c r="D80" s="6">
        <v>43252</v>
      </c>
      <c r="F80" s="10">
        <v>143.13999999999999</v>
      </c>
    </row>
    <row r="81" spans="4:6" x14ac:dyDescent="0.3">
      <c r="D81" s="6">
        <v>43282</v>
      </c>
      <c r="F81" s="10">
        <v>146.9</v>
      </c>
    </row>
    <row r="82" spans="4:6" x14ac:dyDescent="0.3">
      <c r="D82" s="6">
        <v>43313</v>
      </c>
      <c r="F82" s="10">
        <v>151.05000000000001</v>
      </c>
    </row>
    <row r="83" spans="4:6" x14ac:dyDescent="0.3">
      <c r="D83" s="6">
        <v>43344</v>
      </c>
      <c r="F83" s="10">
        <v>155.44</v>
      </c>
    </row>
    <row r="84" spans="4:6" x14ac:dyDescent="0.3">
      <c r="D84" s="6">
        <v>43374</v>
      </c>
      <c r="F84" s="10">
        <v>161.12</v>
      </c>
    </row>
    <row r="85" spans="4:6" x14ac:dyDescent="0.3">
      <c r="D85" s="6">
        <v>43405</v>
      </c>
      <c r="F85" s="10">
        <v>165.83</v>
      </c>
    </row>
    <row r="86" spans="4:6" x14ac:dyDescent="0.3">
      <c r="D86" s="6">
        <v>43435</v>
      </c>
      <c r="F86" s="10">
        <v>169.94</v>
      </c>
    </row>
    <row r="87" spans="4:6" x14ac:dyDescent="0.3">
      <c r="D87" s="6">
        <v>43466</v>
      </c>
      <c r="F87" s="10">
        <v>175.19</v>
      </c>
    </row>
    <row r="88" spans="4:6" x14ac:dyDescent="0.3">
      <c r="D88" s="6">
        <v>43497</v>
      </c>
      <c r="F88" s="10">
        <v>179.84</v>
      </c>
    </row>
    <row r="89" spans="4:6" x14ac:dyDescent="0.3">
      <c r="D89" s="6">
        <v>43525</v>
      </c>
      <c r="F89" s="10">
        <v>186.94</v>
      </c>
    </row>
    <row r="90" spans="4:6" x14ac:dyDescent="0.3">
      <c r="D90" s="6">
        <v>43556</v>
      </c>
      <c r="F90" s="10">
        <v>191.11</v>
      </c>
    </row>
    <row r="91" spans="4:6" x14ac:dyDescent="0.3">
      <c r="D91" s="6">
        <v>43586</v>
      </c>
      <c r="F91" s="10">
        <v>196.51</v>
      </c>
    </row>
    <row r="92" spans="4:6" x14ac:dyDescent="0.3">
      <c r="D92" s="6">
        <v>43617</v>
      </c>
      <c r="F92" s="10">
        <v>200.44</v>
      </c>
    </row>
    <row r="93" spans="4:6" x14ac:dyDescent="0.3">
      <c r="D93" s="6">
        <v>43647</v>
      </c>
      <c r="F93" s="10">
        <v>209.9</v>
      </c>
    </row>
    <row r="94" spans="4:6" x14ac:dyDescent="0.3">
      <c r="D94" s="6">
        <v>43678</v>
      </c>
      <c r="F94" s="10">
        <v>215.02</v>
      </c>
    </row>
    <row r="95" spans="4:6" x14ac:dyDescent="0.3">
      <c r="D95" s="6">
        <v>43709</v>
      </c>
      <c r="F95" s="10">
        <v>220.77</v>
      </c>
    </row>
    <row r="96" spans="4:6" x14ac:dyDescent="0.3">
      <c r="D96" s="6">
        <v>43739</v>
      </c>
      <c r="F96" s="10">
        <v>227.92</v>
      </c>
    </row>
    <row r="97" spans="4:6" x14ac:dyDescent="0.3">
      <c r="D97" s="6">
        <v>43770</v>
      </c>
      <c r="F97" s="10">
        <v>233.32</v>
      </c>
    </row>
    <row r="98" spans="4:6" x14ac:dyDescent="0.3">
      <c r="D98" s="6">
        <v>43800</v>
      </c>
      <c r="F98" s="10">
        <v>239.44</v>
      </c>
    </row>
    <row r="99" spans="4:6" x14ac:dyDescent="0.3">
      <c r="D99" s="6">
        <v>43831</v>
      </c>
      <c r="F99" s="10">
        <v>253.78</v>
      </c>
    </row>
    <row r="100" spans="4:6" x14ac:dyDescent="0.3">
      <c r="D100" s="6">
        <v>43862</v>
      </c>
      <c r="F100" s="10">
        <v>263.55</v>
      </c>
    </row>
    <row r="101" spans="4:6" x14ac:dyDescent="0.3">
      <c r="D101" s="6">
        <v>43891</v>
      </c>
      <c r="F101" s="10">
        <v>271.58</v>
      </c>
    </row>
    <row r="102" spans="4:6" x14ac:dyDescent="0.3">
      <c r="D102" s="6">
        <v>43922</v>
      </c>
      <c r="F102" s="10">
        <v>272.02999999999997</v>
      </c>
    </row>
    <row r="103" spans="4:6" x14ac:dyDescent="0.3">
      <c r="D103" s="6">
        <v>43952</v>
      </c>
      <c r="F103" s="10">
        <v>271.83999999999997</v>
      </c>
    </row>
    <row r="104" spans="4:6" x14ac:dyDescent="0.3">
      <c r="D104" s="6">
        <v>43983</v>
      </c>
      <c r="F104" s="10">
        <v>273.47000000000003</v>
      </c>
    </row>
    <row r="105" spans="4:6" x14ac:dyDescent="0.3">
      <c r="D105" s="6">
        <v>44013</v>
      </c>
      <c r="F105" s="10">
        <v>278.37</v>
      </c>
    </row>
    <row r="106" spans="4:6" x14ac:dyDescent="0.3">
      <c r="D106" s="6">
        <v>44044</v>
      </c>
      <c r="F106" s="10">
        <v>283.92</v>
      </c>
    </row>
    <row r="107" spans="4:6" x14ac:dyDescent="0.3">
      <c r="D107" s="6">
        <v>44075</v>
      </c>
      <c r="F107" s="10">
        <v>291.02</v>
      </c>
    </row>
    <row r="108" spans="4:6" x14ac:dyDescent="0.3">
      <c r="D108" s="6">
        <v>44105</v>
      </c>
      <c r="F108" s="10">
        <v>302.94</v>
      </c>
    </row>
    <row r="109" spans="4:6" x14ac:dyDescent="0.3">
      <c r="D109" s="6">
        <v>44136</v>
      </c>
      <c r="F109" s="10">
        <v>312.92</v>
      </c>
    </row>
    <row r="110" spans="4:6" x14ac:dyDescent="0.3">
      <c r="D110" s="6">
        <v>44166</v>
      </c>
      <c r="F110" s="10">
        <v>318.42</v>
      </c>
    </row>
    <row r="111" spans="4:6" x14ac:dyDescent="0.3">
      <c r="D111" s="6">
        <v>44197</v>
      </c>
      <c r="F111" s="10">
        <v>328.84</v>
      </c>
    </row>
    <row r="112" spans="4:6" x14ac:dyDescent="0.3">
      <c r="D112" s="6">
        <v>44228</v>
      </c>
      <c r="F112" s="10">
        <v>343.06</v>
      </c>
    </row>
    <row r="113" spans="4:6" x14ac:dyDescent="0.3">
      <c r="D113" s="6">
        <v>44256</v>
      </c>
      <c r="F113" s="10">
        <v>360.28</v>
      </c>
    </row>
    <row r="114" spans="4:6" x14ac:dyDescent="0.3">
      <c r="D114" s="6">
        <v>44287</v>
      </c>
      <c r="F114" s="10">
        <v>371.84</v>
      </c>
    </row>
    <row r="115" spans="4:6" x14ac:dyDescent="0.3">
      <c r="D115" s="6">
        <v>44317</v>
      </c>
      <c r="F115" s="10">
        <v>382.42</v>
      </c>
    </row>
    <row r="116" spans="4:6" x14ac:dyDescent="0.3">
      <c r="D116" s="6">
        <v>44348</v>
      </c>
      <c r="F116" s="10">
        <v>391.16</v>
      </c>
    </row>
    <row r="117" spans="4:6" x14ac:dyDescent="0.3">
      <c r="D117" s="6">
        <v>44378</v>
      </c>
      <c r="F117" s="10">
        <v>410.37</v>
      </c>
    </row>
    <row r="118" spans="4:6" x14ac:dyDescent="0.3">
      <c r="D118" s="6">
        <v>44409</v>
      </c>
      <c r="F118" s="10">
        <v>423.41</v>
      </c>
    </row>
    <row r="119" spans="4:6" x14ac:dyDescent="0.3">
      <c r="D119" s="6">
        <v>44440</v>
      </c>
      <c r="F119" s="10">
        <v>440.34</v>
      </c>
    </row>
    <row r="120" spans="4:6" x14ac:dyDescent="0.3">
      <c r="D120" s="6">
        <v>44470</v>
      </c>
      <c r="F120" s="10">
        <v>458.07</v>
      </c>
    </row>
    <row r="121" spans="4:6" x14ac:dyDescent="0.3">
      <c r="D121" s="6">
        <v>44501</v>
      </c>
      <c r="F121" s="10">
        <v>476.11</v>
      </c>
    </row>
    <row r="122" spans="4:6" x14ac:dyDescent="0.3">
      <c r="D122" s="6">
        <v>44531</v>
      </c>
      <c r="F122" s="10">
        <v>488.33</v>
      </c>
    </row>
    <row r="123" spans="4:6" x14ac:dyDescent="0.3">
      <c r="D123" s="6">
        <v>44562</v>
      </c>
      <c r="F123" s="10">
        <v>506.68</v>
      </c>
    </row>
    <row r="124" spans="4:6" x14ac:dyDescent="0.3">
      <c r="D124" s="6">
        <v>44593</v>
      </c>
      <c r="F124" s="10">
        <v>522.55999999999995</v>
      </c>
    </row>
    <row r="125" spans="4:6" x14ac:dyDescent="0.3">
      <c r="D125" s="6">
        <v>44621</v>
      </c>
      <c r="F125" s="10">
        <v>561.16</v>
      </c>
    </row>
    <row r="126" spans="4:6" x14ac:dyDescent="0.3">
      <c r="D126" s="6">
        <v>44652</v>
      </c>
      <c r="F126" s="10">
        <v>589.01</v>
      </c>
    </row>
    <row r="127" spans="4:6" x14ac:dyDescent="0.3">
      <c r="D127" s="6">
        <v>44682</v>
      </c>
      <c r="F127" s="10">
        <v>625.63</v>
      </c>
    </row>
    <row r="128" spans="4:6" x14ac:dyDescent="0.3">
      <c r="D128" s="6">
        <v>44713</v>
      </c>
      <c r="F128" s="10">
        <v>655.94</v>
      </c>
    </row>
    <row r="129" spans="4:6" x14ac:dyDescent="0.3">
      <c r="D129" s="6">
        <v>44743</v>
      </c>
      <c r="F129" s="10">
        <v>692.32</v>
      </c>
    </row>
    <row r="130" spans="4:6" x14ac:dyDescent="0.3">
      <c r="D130" s="6">
        <v>44774</v>
      </c>
      <c r="F130" s="10">
        <v>737.46</v>
      </c>
    </row>
    <row r="131" spans="4:6" x14ac:dyDescent="0.3">
      <c r="D131" s="6">
        <v>44805</v>
      </c>
      <c r="F131" s="10">
        <v>787.08</v>
      </c>
    </row>
    <row r="132" spans="4:6" x14ac:dyDescent="0.3">
      <c r="D132" s="6">
        <v>44835</v>
      </c>
      <c r="F132" s="10">
        <v>827.54</v>
      </c>
    </row>
    <row r="133" spans="4:6" x14ac:dyDescent="0.3">
      <c r="D133" s="6">
        <v>44866</v>
      </c>
      <c r="F133" s="10">
        <v>883.06</v>
      </c>
    </row>
    <row r="134" spans="4:6" x14ac:dyDescent="0.3">
      <c r="D134" s="6">
        <v>44896</v>
      </c>
      <c r="F134" s="10">
        <v>929.56</v>
      </c>
    </row>
    <row r="135" spans="4:6" x14ac:dyDescent="0.3">
      <c r="D135" s="6">
        <v>44927</v>
      </c>
      <c r="F135" s="10">
        <v>973.35</v>
      </c>
    </row>
    <row r="136" spans="4:6" x14ac:dyDescent="0.3">
      <c r="D136" s="6">
        <v>44958</v>
      </c>
      <c r="F136" s="10">
        <v>1031.74</v>
      </c>
    </row>
    <row r="137" spans="4:6" x14ac:dyDescent="0.3">
      <c r="D137" s="6">
        <v>44986</v>
      </c>
      <c r="F137" s="10">
        <v>1136.04</v>
      </c>
    </row>
    <row r="138" spans="4:6" x14ac:dyDescent="0.3">
      <c r="D138" s="6">
        <v>45017</v>
      </c>
      <c r="F138" s="10">
        <v>1200.49</v>
      </c>
    </row>
    <row r="139" spans="4:6" x14ac:dyDescent="0.3">
      <c r="D139" s="6">
        <v>45047</v>
      </c>
      <c r="F139" s="10">
        <v>1290.46</v>
      </c>
    </row>
    <row r="140" spans="4:6" x14ac:dyDescent="0.3">
      <c r="D140" s="6">
        <v>45078</v>
      </c>
      <c r="F140" s="10">
        <v>1368.71</v>
      </c>
    </row>
    <row r="141" spans="4:6" x14ac:dyDescent="0.3">
      <c r="D141" s="6">
        <v>45108</v>
      </c>
      <c r="F141" s="10">
        <v>1519.5</v>
      </c>
    </row>
    <row r="142" spans="4:6" x14ac:dyDescent="0.3">
      <c r="D142" s="6">
        <v>45139</v>
      </c>
      <c r="F142" s="10">
        <v>1635.33</v>
      </c>
    </row>
    <row r="143" spans="4:6" x14ac:dyDescent="0.3">
      <c r="D143" s="6">
        <v>45170</v>
      </c>
      <c r="F143" s="10">
        <v>1826.29</v>
      </c>
    </row>
    <row r="144" spans="4:6" x14ac:dyDescent="0.3">
      <c r="D144" s="6">
        <v>45200</v>
      </c>
      <c r="F144" s="10">
        <v>1978.41</v>
      </c>
    </row>
    <row r="145" spans="4:6" x14ac:dyDescent="0.3">
      <c r="D145" s="6">
        <v>45231</v>
      </c>
      <c r="F145" s="10">
        <v>2157.73</v>
      </c>
    </row>
    <row r="146" spans="4:6" x14ac:dyDescent="0.3">
      <c r="D146" s="6">
        <v>45261</v>
      </c>
      <c r="F146" s="10">
        <v>2348.79</v>
      </c>
    </row>
    <row r="147" spans="4:6" x14ac:dyDescent="0.3">
      <c r="D147" s="6">
        <v>45292</v>
      </c>
      <c r="F147" s="10">
        <v>2734.97</v>
      </c>
    </row>
    <row r="148" spans="4:6" x14ac:dyDescent="0.3">
      <c r="D148" s="6">
        <v>45323</v>
      </c>
      <c r="F148" s="10">
        <v>3099.2</v>
      </c>
    </row>
    <row r="149" spans="4:6" x14ac:dyDescent="0.3">
      <c r="D149" s="6">
        <v>45352</v>
      </c>
      <c r="F149" s="10">
        <v>3417.34</v>
      </c>
    </row>
    <row r="150" spans="4:6" x14ac:dyDescent="0.3">
      <c r="D150" s="6">
        <v>45383</v>
      </c>
      <c r="F150" s="10">
        <v>3764.21</v>
      </c>
    </row>
    <row r="151" spans="4:6" x14ac:dyDescent="0.3">
      <c r="D151" s="6">
        <v>45413</v>
      </c>
      <c r="F151" s="10">
        <v>4077.32</v>
      </c>
    </row>
    <row r="152" spans="4:6" x14ac:dyDescent="0.3">
      <c r="D152" s="6">
        <v>45444</v>
      </c>
      <c r="F152" s="10">
        <v>4329.8</v>
      </c>
    </row>
    <row r="153" spans="4:6" x14ac:dyDescent="0.3">
      <c r="D153" s="6">
        <v>45474</v>
      </c>
      <c r="F153" s="10">
        <v>4653.26</v>
      </c>
    </row>
    <row r="154" spans="4:6" x14ac:dyDescent="0.3">
      <c r="D154" s="6">
        <v>45505</v>
      </c>
      <c r="F154" s="10">
        <v>4916.1899999999996</v>
      </c>
    </row>
    <row r="155" spans="4:6" x14ac:dyDescent="0.3">
      <c r="D155" s="6">
        <v>45536</v>
      </c>
      <c r="F155" s="10">
        <v>5147.6099999999997</v>
      </c>
    </row>
    <row r="156" spans="4:6" x14ac:dyDescent="0.3">
      <c r="D156" s="6">
        <v>45566</v>
      </c>
      <c r="F156" s="10">
        <v>5383.96</v>
      </c>
    </row>
    <row r="157" spans="4:6" x14ac:dyDescent="0.3">
      <c r="D157" s="6">
        <v>45597</v>
      </c>
      <c r="F157" s="10">
        <v>5591</v>
      </c>
    </row>
    <row r="158" spans="4:6" x14ac:dyDescent="0.3">
      <c r="D158" s="6">
        <v>45627</v>
      </c>
      <c r="F158" s="10">
        <v>5765.54</v>
      </c>
    </row>
    <row r="159" spans="4:6" x14ac:dyDescent="0.3">
      <c r="D159" s="6">
        <v>45658</v>
      </c>
      <c r="F159" s="10">
        <v>5934.47</v>
      </c>
    </row>
    <row r="160" spans="4:6" x14ac:dyDescent="0.3">
      <c r="D160" s="6">
        <v>45689</v>
      </c>
      <c r="F160" s="10">
        <v>6161.52</v>
      </c>
    </row>
    <row r="161" spans="4:6" x14ac:dyDescent="0.3">
      <c r="D161" s="6">
        <v>45717</v>
      </c>
      <c r="F161" s="10">
        <v>6344.81</v>
      </c>
    </row>
    <row r="162" spans="4:6" x14ac:dyDescent="0.3">
      <c r="D162" s="6">
        <v>45748</v>
      </c>
      <c r="F162" s="10">
        <v>6559.31</v>
      </c>
    </row>
    <row r="163" spans="4:6" x14ac:dyDescent="0.3">
      <c r="D163" s="6">
        <v>45778</v>
      </c>
      <c r="F163" s="10">
        <v>6755.22</v>
      </c>
    </row>
    <row r="164" spans="4:6" x14ac:dyDescent="0.3">
      <c r="D164" s="7">
        <v>45809</v>
      </c>
      <c r="F164" s="10">
        <v>6956.46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15041239AE334D8A3BBC5812FFA3B3" ma:contentTypeVersion="3" ma:contentTypeDescription="Crear nuevo documento." ma:contentTypeScope="" ma:versionID="aa6560d6e5dee3ba6708a6653108891d">
  <xsd:schema xmlns:xsd="http://www.w3.org/2001/XMLSchema" xmlns:xs="http://www.w3.org/2001/XMLSchema" xmlns:p="http://schemas.microsoft.com/office/2006/metadata/properties" xmlns:ns2="5a5ea70a-d6cc-4635-bfce-43f7e14267d5" targetNamespace="http://schemas.microsoft.com/office/2006/metadata/properties" ma:root="true" ma:fieldsID="618a6aab7b4ac5193eb00d2c658cd666" ns2:_="">
    <xsd:import namespace="5a5ea70a-d6cc-4635-bfce-43f7e1426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ea70a-d6cc-4635-bfce-43f7e1426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6AAB185-FB4B-4DDD-A4C0-F15E21F1FA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34847E-FB91-4450-9FA2-505365242FEE}">
  <ds:schemaRefs>
    <ds:schemaRef ds:uri="http://purl.org/dc/terms/"/>
    <ds:schemaRef ds:uri="http://schemas.microsoft.com/office/infopath/2007/PartnerControls"/>
    <ds:schemaRef ds:uri="http://www.w3.org/XML/1998/namespace"/>
    <ds:schemaRef ds:uri="5a5ea70a-d6cc-4635-bfce-43f7e14267d5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527998C-74FD-49B5-A3F7-613EB4282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ea70a-d6cc-4635-bfce-43f7e1426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879244-98B5-4D85-B844-460917CFE3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VAB_trim</vt:lpstr>
      <vt:lpstr>Salarios_Total_General</vt:lpstr>
      <vt:lpstr>Salario_sector_trim</vt:lpstr>
      <vt:lpstr>Salarios_Ind_Trim</vt:lpstr>
      <vt:lpstr>Puesto_desest_trim</vt:lpstr>
      <vt:lpstr>IPC_trim</vt:lpstr>
      <vt:lpstr>borador</vt:lpstr>
      <vt:lpstr>borador_2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Joaquín Nuñez</dc:creator>
  <cp:keywords/>
  <dc:description/>
  <cp:lastModifiedBy>Nicolás David Novoa</cp:lastModifiedBy>
  <cp:revision/>
  <dcterms:created xsi:type="dcterms:W3CDTF">2025-11-13T19:01:25Z</dcterms:created>
  <dcterms:modified xsi:type="dcterms:W3CDTF">2026-03-27T23:04:46Z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0x010100D015041239AE334D8A3BBC5812FFA3B3</vt:lpwstr>
  </property>
</Properties>
</file>