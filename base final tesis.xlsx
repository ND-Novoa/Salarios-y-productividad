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con\Downloads\"/>
    </mc:Choice>
  </mc:AlternateContent>
  <xr:revisionPtr revIDLastSave="0" documentId="8_{4CEC7E6F-1C37-47F7-BBD9-654A61A5215F}" xr6:coauthVersionLast="47" xr6:coauthVersionMax="47" xr10:uidLastSave="{00000000-0000-0000-0000-000000000000}"/>
  <bookViews>
    <workbookView xWindow="-108" yWindow="-108" windowWidth="23256" windowHeight="13176" tabRatio="944" activeTab="1" xr2:uid="{C6330003-B0F1-43E4-9D35-DEF5A6027F70}"/>
  </bookViews>
  <sheets>
    <sheet name="VAB_trim" sheetId="4" r:id="rId1"/>
    <sheet name="Salarios_Total_General" sheetId="8" r:id="rId2"/>
    <sheet name="Salario_sector_trim" sheetId="3" r:id="rId3"/>
    <sheet name="Salarios_Ind_Trim" sheetId="5" r:id="rId4"/>
    <sheet name="Puesto_desest_trim" sheetId="2" r:id="rId5"/>
    <sheet name="IPC_trim" sheetId="9" r:id="rId6"/>
    <sheet name="borador" sheetId="7" r:id="rId7"/>
    <sheet name="borador_2" sheetId="6" r:id="rId8"/>
  </sheets>
  <definedNames>
    <definedName name="DatosExternos_1" localSheetId="4" hidden="1">Puesto_desest_trim!$A$1:$C$67</definedName>
    <definedName name="DatosExternos_2" localSheetId="2" hidden="1">Salario_sector_trim!$A$1:$C$81</definedName>
    <definedName name="DatosExternos_3" localSheetId="0" hidden="1">VAB_trim!$A$1:$D$87</definedName>
    <definedName name="DatosExternos_4" localSheetId="3" hidden="1">Salarios_Ind_Trim!$A$1:$B$85</definedName>
  </definedNames>
  <calcPr calcId="191028"/>
  <pivotCaches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D8" i="7"/>
  <c r="D9" i="7"/>
  <c r="E9" i="7" s="1"/>
  <c r="D10" i="7"/>
  <c r="E10" i="7" s="1"/>
  <c r="D11" i="7"/>
  <c r="D12" i="7"/>
  <c r="D13" i="7"/>
  <c r="D14" i="7"/>
  <c r="D15" i="7"/>
  <c r="D16" i="7"/>
  <c r="D17" i="7"/>
  <c r="E17" i="7" s="1"/>
  <c r="D18" i="7"/>
  <c r="E18" i="7" s="1"/>
  <c r="D19" i="7"/>
  <c r="D20" i="7"/>
  <c r="D21" i="7"/>
  <c r="D22" i="7"/>
  <c r="D23" i="7"/>
  <c r="D24" i="7"/>
  <c r="D25" i="7"/>
  <c r="E25" i="7" s="1"/>
  <c r="D26" i="7"/>
  <c r="E26" i="7" s="1"/>
  <c r="D27" i="7"/>
  <c r="D28" i="7"/>
  <c r="D29" i="7"/>
  <c r="D30" i="7"/>
  <c r="D31" i="7"/>
  <c r="D32" i="7"/>
  <c r="D33" i="7"/>
  <c r="E33" i="7" s="1"/>
  <c r="D34" i="7"/>
  <c r="E34" i="7" s="1"/>
  <c r="D35" i="7"/>
  <c r="D36" i="7"/>
  <c r="D37" i="7"/>
  <c r="D38" i="7"/>
  <c r="D39" i="7"/>
  <c r="D40" i="7"/>
  <c r="D41" i="7"/>
  <c r="E41" i="7" s="1"/>
  <c r="D42" i="7"/>
  <c r="E42" i="7" s="1"/>
  <c r="D43" i="7"/>
  <c r="D44" i="7"/>
  <c r="D45" i="7"/>
  <c r="D46" i="7"/>
  <c r="D47" i="7"/>
  <c r="D48" i="7"/>
  <c r="D49" i="7"/>
  <c r="E49" i="7" s="1"/>
  <c r="D50" i="7"/>
  <c r="E50" i="7" s="1"/>
  <c r="D51" i="7"/>
  <c r="D52" i="7"/>
  <c r="D53" i="7"/>
  <c r="D54" i="7"/>
  <c r="D55" i="7"/>
  <c r="D2" i="7"/>
  <c r="E2" i="7" s="1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C79" i="9"/>
  <c r="C82" i="9"/>
  <c r="C85" i="9"/>
  <c r="C88" i="9"/>
  <c r="C91" i="9"/>
  <c r="C94" i="9"/>
  <c r="C97" i="9"/>
  <c r="C100" i="9"/>
  <c r="C103" i="9"/>
  <c r="C106" i="9"/>
  <c r="C109" i="9"/>
  <c r="C112" i="9"/>
  <c r="C115" i="9"/>
  <c r="C118" i="9"/>
  <c r="C121" i="9"/>
  <c r="C124" i="9"/>
  <c r="C127" i="9"/>
  <c r="C130" i="9"/>
  <c r="C133" i="9"/>
  <c r="C136" i="9"/>
  <c r="C139" i="9"/>
  <c r="C142" i="9"/>
  <c r="C145" i="9"/>
  <c r="C148" i="9"/>
  <c r="C151" i="9"/>
  <c r="C154" i="9"/>
  <c r="C157" i="9"/>
  <c r="C160" i="9"/>
  <c r="C163" i="9"/>
  <c r="C166" i="9"/>
  <c r="C169" i="9"/>
  <c r="C172" i="9"/>
  <c r="C175" i="9"/>
  <c r="C178" i="9"/>
  <c r="C181" i="9"/>
  <c r="C184" i="9"/>
  <c r="C187" i="9"/>
  <c r="C190" i="9"/>
  <c r="C193" i="9"/>
  <c r="C196" i="9"/>
  <c r="C199" i="9"/>
  <c r="C202" i="9"/>
  <c r="C205" i="9"/>
  <c r="C208" i="9"/>
  <c r="C211" i="9"/>
  <c r="C214" i="9"/>
  <c r="C217" i="9"/>
  <c r="C220" i="9"/>
  <c r="C223" i="9"/>
  <c r="C226" i="9"/>
  <c r="C229" i="9"/>
  <c r="C232" i="9"/>
  <c r="C235" i="9"/>
  <c r="C238" i="9"/>
  <c r="C241" i="9"/>
  <c r="E4" i="7"/>
  <c r="E5" i="7"/>
  <c r="E6" i="7"/>
  <c r="E7" i="7"/>
  <c r="E8" i="7"/>
  <c r="E11" i="7"/>
  <c r="E12" i="7"/>
  <c r="E13" i="7"/>
  <c r="E14" i="7"/>
  <c r="E15" i="7"/>
  <c r="E16" i="7"/>
  <c r="E19" i="7"/>
  <c r="E20" i="7"/>
  <c r="E21" i="7"/>
  <c r="E22" i="7"/>
  <c r="E23" i="7"/>
  <c r="E24" i="7"/>
  <c r="E27" i="7"/>
  <c r="E28" i="7"/>
  <c r="E29" i="7"/>
  <c r="E30" i="7"/>
  <c r="E31" i="7"/>
  <c r="E32" i="7"/>
  <c r="E35" i="7"/>
  <c r="E36" i="7"/>
  <c r="E37" i="7"/>
  <c r="E38" i="7"/>
  <c r="E39" i="7"/>
  <c r="E40" i="7"/>
  <c r="E43" i="7"/>
  <c r="E44" i="7"/>
  <c r="E45" i="7"/>
  <c r="E46" i="7"/>
  <c r="E47" i="7"/>
  <c r="E48" i="7"/>
  <c r="E51" i="7"/>
  <c r="E52" i="7"/>
  <c r="E53" i="7"/>
  <c r="E54" i="7"/>
  <c r="E55" i="7"/>
  <c r="E3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2" i="7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8E2D82-60C0-4ECC-A6A3-777225F2DD0B}" keepAlive="1" name="Consulta - Puesto_desest_trim" description="Conexión a la consulta 'Puesto_desest_trim' en el libro." type="5" refreshedVersion="8" background="1" saveData="1">
    <dbPr connection="Provider=Microsoft.Mashup.OleDb.1;Data Source=$Workbook$;Location=Puesto_desest_trim;Extended Properties=&quot;&quot;" command="SELECT * FROM [Puesto_desest_trim]"/>
  </connection>
  <connection id="2" xr16:uid="{2721E69A-0B57-46F9-9061-ED48143576CA}" keepAlive="1" name="Consulta - Salario_sector_trim" description="Conexión a la consulta 'Salario_sector_trim' en el libro." type="5" refreshedVersion="8" background="1" saveData="1">
    <dbPr connection="Provider=Microsoft.Mashup.OleDb.1;Data Source=$Workbook$;Location=Salario_sector_trim;Extended Properties=&quot;&quot;" command="SELECT * FROM [Salario_sector_trim]"/>
  </connection>
  <connection id="3" xr16:uid="{8CE00989-2841-4DD2-85EF-4EE6A7CD1483}" keepAlive="1" name="Consulta - VAB_trim" description="Conexión a la consulta 'VAB_trim' en el libro." type="5" refreshedVersion="8" background="1" saveData="1">
    <dbPr connection="Provider=Microsoft.Mashup.OleDb.1;Data Source=$Workbook$;Location=VAB_trim;Extended Properties=&quot;&quot;" command="SELECT * FROM [VAB_trim]"/>
  </connection>
  <connection id="4" xr16:uid="{4091B641-4FA0-409F-A4EC-2029AC9883C4}" keepAlive="1" name="Consulta - VAB_trim (2)" description="Conexión a la consulta 'VAB_trim (2)' en el libro." type="5" refreshedVersion="8" background="1" saveData="1">
    <dbPr connection="Provider=Microsoft.Mashup.OleDb.1;Data Source=$Workbook$;Location=&quot;VAB_trim (2)&quot;;Extended Properties=&quot;&quot;" command="SELECT * FROM [VAB_trim (2)]"/>
  </connection>
</connections>
</file>

<file path=xl/sharedStrings.xml><?xml version="1.0" encoding="utf-8"?>
<sst xmlns="http://schemas.openxmlformats.org/spreadsheetml/2006/main" count="156" uniqueCount="50">
  <si>
    <t>Fecha</t>
  </si>
  <si>
    <t>VAB Sector Público</t>
  </si>
  <si>
    <t>VAB Sector Privado</t>
  </si>
  <si>
    <t>VAB Industria Manufacturera</t>
  </si>
  <si>
    <t>VAB General</t>
  </si>
  <si>
    <t>Salarios_Reales_Totales_Trim</t>
  </si>
  <si>
    <t>Sector Privado</t>
  </si>
  <si>
    <t>Sector Público</t>
  </si>
  <si>
    <t>Salarios_Ind_Trim</t>
  </si>
  <si>
    <t xml:space="preserve">Puestos_sector_privado </t>
  </si>
  <si>
    <t>Puestos_sector_publico TRIMESTRAL</t>
  </si>
  <si>
    <t>Puestos_Industria</t>
  </si>
  <si>
    <t>Puestos_Comercio</t>
  </si>
  <si>
    <t>Puestos_Transporte</t>
  </si>
  <si>
    <t>Puestos_Acts_Inmob</t>
  </si>
  <si>
    <t>Puestos_Total</t>
  </si>
  <si>
    <t>IPC empalmado</t>
  </si>
  <si>
    <t>IPC trim</t>
  </si>
  <si>
    <t>Primer Trimestre</t>
  </si>
  <si>
    <t>Segundo Trimestre</t>
  </si>
  <si>
    <t>Tercer Trimestre</t>
  </si>
  <si>
    <t>Cuarto Trimestre</t>
  </si>
  <si>
    <t>Salarios_Totales_Trim</t>
  </si>
  <si>
    <t>IPC base 100 2012Q1</t>
  </si>
  <si>
    <t>Meses</t>
  </si>
  <si>
    <t>Base abr2012 =100</t>
  </si>
  <si>
    <t>Base oct2016 =100</t>
  </si>
  <si>
    <t>Jota de Joaco</t>
  </si>
  <si>
    <t>Años (Meses)</t>
  </si>
  <si>
    <t>Trimestres (Meses)</t>
  </si>
  <si>
    <t>Promedio de Base oct2016 =100</t>
  </si>
  <si>
    <t>2012</t>
  </si>
  <si>
    <t>Trim.1</t>
  </si>
  <si>
    <t>Trim.2</t>
  </si>
  <si>
    <t>Trim.3</t>
  </si>
  <si>
    <t>Trim.4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</si>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</sst>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</fills>
  <borders count="1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2" borderId="1" xfId="0" applyFill="1" applyBorder="1"/>
    <xf numFmtId="0" fontId="0" fillId="0" borderId="1" xfId="0" applyBorder="1"/>
    <xf numFmtId="17" fontId="2" fillId="3" borderId="2" xfId="1" applyNumberFormat="1" applyFont="1" applyFill="1" applyBorder="1"/>
    <xf numFmtId="17" fontId="2" fillId="3" borderId="3" xfId="1" applyNumberFormat="1" applyFont="1" applyFill="1" applyBorder="1"/>
    <xf numFmtId="17" fontId="2" fillId="3" borderId="4" xfId="1" applyNumberFormat="1" applyFont="1" applyFill="1" applyBorder="1"/>
    <xf numFmtId="2" fontId="2" fillId="3" borderId="5" xfId="1" applyNumberFormat="1" applyFont="1" applyFill="1" applyBorder="1"/>
    <xf numFmtId="2" fontId="2" fillId="3" borderId="6" xfId="1" applyNumberFormat="1" applyFont="1" applyFill="1" applyBorder="1"/>
    <xf numFmtId="4" fontId="0" fillId="0" borderId="5" xfId="0" applyNumberFormat="1" applyBorder="1"/>
    <xf numFmtId="0" fontId="0" fillId="0" borderId="0" xfId="0" pivotButton="1"/>
    <xf numFmtId="14" fontId="0" fillId="0" borderId="7" xfId="0" applyNumberFormat="1" applyBorder="1"/>
    <xf numFmtId="14" fontId="0" fillId="4" borderId="7" xfId="0" applyNumberFormat="1" applyFill="1" applyBorder="1"/>
    <xf numFmtId="2" fontId="0" fillId="0" borderId="0" xfId="0" applyNumberFormat="1"/>
    <xf numFmtId="0" fontId="3" fillId="0" borderId="0" xfId="0" applyFont="1"/>
    <xf numFmtId="0" fontId="4" fillId="0" borderId="8" xfId="0" applyFont="1" applyBorder="1"/>
    <xf numFmtId="14" fontId="4" fillId="0" borderId="9" xfId="0" applyNumberFormat="1" applyFont="1" applyBorder="1"/>
    <xf numFmtId="0" fontId="4" fillId="5" borderId="8" xfId="0" applyFont="1" applyFill="1" applyBorder="1"/>
    <xf numFmtId="14" fontId="4" fillId="5" borderId="9" xfId="0" applyNumberFormat="1" applyFont="1" applyFill="1" applyBorder="1"/>
    <xf numFmtId="0" fontId="4" fillId="0" borderId="0" xfId="0" applyFont="1"/>
    <xf numFmtId="0" fontId="0" fillId="4" borderId="10" xfId="0" applyFill="1" applyBorder="1"/>
    <xf numFmtId="0" fontId="0" fillId="0" borderId="10" xfId="0" applyBorder="1"/>
    <xf numFmtId="0" fontId="5" fillId="0" borderId="11" xfId="0" applyFont="1" applyBorder="1"/>
  </cellXfs>
  <cellStyles count="2">
    <cellStyle name="Normal" xfId="0" builtinId="0"/>
    <cellStyle name="Normal 2" xfId="1" xr:uid="{1765417F-0A6D-4A38-9A5F-C99A6DEB2222}"/>
  </cellStyles>
  <dxfs count="13">
    <dxf>
      <numFmt numFmtId="4" formatCode="#,##0.0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22" formatCode="mmm\-yy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Salarios_Total_General!$B$1</c:f>
              <c:strCache>
                <c:ptCount val="1"/>
                <c:pt idx="0">
                  <c:v>Salarios_Reales_Totales_Trim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Salarios_Total_General!$A$2:$A$55</c:f>
              <c:numCache>
                <c:formatCode>m/d/yyyy</c:formatCode>
                <c:ptCount val="54"/>
                <c:pt idx="0">
                  <c:v>40999</c:v>
                </c:pt>
                <c:pt idx="1">
                  <c:v>41090</c:v>
                </c:pt>
                <c:pt idx="2">
                  <c:v>41182</c:v>
                </c:pt>
                <c:pt idx="3">
                  <c:v>41274</c:v>
                </c:pt>
                <c:pt idx="4">
                  <c:v>41364</c:v>
                </c:pt>
                <c:pt idx="5">
                  <c:v>41455</c:v>
                </c:pt>
                <c:pt idx="6">
                  <c:v>41547</c:v>
                </c:pt>
                <c:pt idx="7">
                  <c:v>41639</c:v>
                </c:pt>
                <c:pt idx="8">
                  <c:v>41729</c:v>
                </c:pt>
                <c:pt idx="9">
                  <c:v>41820</c:v>
                </c:pt>
                <c:pt idx="10">
                  <c:v>41912</c:v>
                </c:pt>
                <c:pt idx="11">
                  <c:v>42004</c:v>
                </c:pt>
                <c:pt idx="12">
                  <c:v>42094</c:v>
                </c:pt>
                <c:pt idx="13">
                  <c:v>42185</c:v>
                </c:pt>
                <c:pt idx="14">
                  <c:v>42277</c:v>
                </c:pt>
                <c:pt idx="15">
                  <c:v>42369</c:v>
                </c:pt>
                <c:pt idx="16">
                  <c:v>42460</c:v>
                </c:pt>
                <c:pt idx="17">
                  <c:v>42551</c:v>
                </c:pt>
                <c:pt idx="18">
                  <c:v>42643</c:v>
                </c:pt>
                <c:pt idx="19">
                  <c:v>42735</c:v>
                </c:pt>
                <c:pt idx="20">
                  <c:v>42825</c:v>
                </c:pt>
                <c:pt idx="21">
                  <c:v>42916</c:v>
                </c:pt>
                <c:pt idx="22">
                  <c:v>43008</c:v>
                </c:pt>
                <c:pt idx="23">
                  <c:v>43100</c:v>
                </c:pt>
                <c:pt idx="24">
                  <c:v>43190</c:v>
                </c:pt>
                <c:pt idx="25">
                  <c:v>43281</c:v>
                </c:pt>
                <c:pt idx="26">
                  <c:v>43373</c:v>
                </c:pt>
                <c:pt idx="27">
                  <c:v>43465</c:v>
                </c:pt>
                <c:pt idx="28">
                  <c:v>43555</c:v>
                </c:pt>
                <c:pt idx="29">
                  <c:v>43646</c:v>
                </c:pt>
                <c:pt idx="30">
                  <c:v>43738</c:v>
                </c:pt>
                <c:pt idx="31">
                  <c:v>43830</c:v>
                </c:pt>
                <c:pt idx="32">
                  <c:v>43921</c:v>
                </c:pt>
                <c:pt idx="33">
                  <c:v>44012</c:v>
                </c:pt>
                <c:pt idx="34">
                  <c:v>44104</c:v>
                </c:pt>
                <c:pt idx="35">
                  <c:v>44196</c:v>
                </c:pt>
                <c:pt idx="36">
                  <c:v>44286</c:v>
                </c:pt>
                <c:pt idx="37">
                  <c:v>44377</c:v>
                </c:pt>
                <c:pt idx="38">
                  <c:v>44469</c:v>
                </c:pt>
                <c:pt idx="39">
                  <c:v>44561</c:v>
                </c:pt>
                <c:pt idx="40">
                  <c:v>44651</c:v>
                </c:pt>
                <c:pt idx="41">
                  <c:v>44742</c:v>
                </c:pt>
                <c:pt idx="42">
                  <c:v>44834</c:v>
                </c:pt>
                <c:pt idx="43">
                  <c:v>44926</c:v>
                </c:pt>
                <c:pt idx="44">
                  <c:v>45016</c:v>
                </c:pt>
                <c:pt idx="45">
                  <c:v>45107</c:v>
                </c:pt>
                <c:pt idx="46">
                  <c:v>45199</c:v>
                </c:pt>
                <c:pt idx="47">
                  <c:v>45291</c:v>
                </c:pt>
                <c:pt idx="48">
                  <c:v>45382</c:v>
                </c:pt>
                <c:pt idx="49">
                  <c:v>45473</c:v>
                </c:pt>
                <c:pt idx="50">
                  <c:v>45565</c:v>
                </c:pt>
                <c:pt idx="51">
                  <c:v>45657</c:v>
                </c:pt>
                <c:pt idx="52">
                  <c:v>45747</c:v>
                </c:pt>
                <c:pt idx="53">
                  <c:v>45838</c:v>
                </c:pt>
              </c:numCache>
            </c:numRef>
          </c:cat>
          <c:val>
            <c:numRef>
              <c:f>Salarios_Total_General!$B$2:$B$55</c:f>
              <c:numCache>
                <c:formatCode>General</c:formatCode>
                <c:ptCount val="54"/>
                <c:pt idx="0">
                  <c:v>100</c:v>
                </c:pt>
                <c:pt idx="1">
                  <c:v>100.07700823295222</c:v>
                </c:pt>
                <c:pt idx="2">
                  <c:v>101.37393454977497</c:v>
                </c:pt>
                <c:pt idx="3">
                  <c:v>101.80088039241994</c:v>
                </c:pt>
                <c:pt idx="4">
                  <c:v>99.856838765954421</c:v>
                </c:pt>
                <c:pt idx="5">
                  <c:v>100.93211631792872</c:v>
                </c:pt>
                <c:pt idx="6">
                  <c:v>101.52390338879374</c:v>
                </c:pt>
                <c:pt idx="7">
                  <c:v>98.833841071086695</c:v>
                </c:pt>
                <c:pt idx="8">
                  <c:v>91.684520623691498</c:v>
                </c:pt>
                <c:pt idx="9">
                  <c:v>92.921938958489548</c:v>
                </c:pt>
                <c:pt idx="10">
                  <c:v>94.56388423897485</c:v>
                </c:pt>
                <c:pt idx="11">
                  <c:v>93.874896275025606</c:v>
                </c:pt>
                <c:pt idx="12">
                  <c:v>93.726644503692796</c:v>
                </c:pt>
                <c:pt idx="13">
                  <c:v>95.1326525709203</c:v>
                </c:pt>
                <c:pt idx="14">
                  <c:v>98.576043163858955</c:v>
                </c:pt>
                <c:pt idx="15">
                  <c:v>96.285195282731962</c:v>
                </c:pt>
                <c:pt idx="16">
                  <c:v>89.928497026535339</c:v>
                </c:pt>
                <c:pt idx="17">
                  <c:v>89.945479824164863</c:v>
                </c:pt>
                <c:pt idx="18">
                  <c:v>92.933760781487678</c:v>
                </c:pt>
                <c:pt idx="19">
                  <c:v>93.960636306097484</c:v>
                </c:pt>
                <c:pt idx="20">
                  <c:v>93.967935664595416</c:v>
                </c:pt>
                <c:pt idx="21">
                  <c:v>95.121791469647604</c:v>
                </c:pt>
                <c:pt idx="22">
                  <c:v>98.078960975996878</c:v>
                </c:pt>
                <c:pt idx="23">
                  <c:v>97.533532434511045</c:v>
                </c:pt>
                <c:pt idx="24">
                  <c:v>94.564399897372795</c:v>
                </c:pt>
                <c:pt idx="25">
                  <c:v>92.542237870828572</c:v>
                </c:pt>
                <c:pt idx="26">
                  <c:v>88.573931219003228</c:v>
                </c:pt>
                <c:pt idx="27">
                  <c:v>84.730555391661994</c:v>
                </c:pt>
                <c:pt idx="28">
                  <c:v>83.930975230545229</c:v>
                </c:pt>
                <c:pt idx="29">
                  <c:v>81.96450743636845</c:v>
                </c:pt>
                <c:pt idx="30">
                  <c:v>81.840364217554111</c:v>
                </c:pt>
                <c:pt idx="31">
                  <c:v>78.51578934673762</c:v>
                </c:pt>
                <c:pt idx="32">
                  <c:v>81.220019831036808</c:v>
                </c:pt>
                <c:pt idx="33">
                  <c:v>79.179881053238859</c:v>
                </c:pt>
                <c:pt idx="34">
                  <c:v>77.362645253480409</c:v>
                </c:pt>
                <c:pt idx="35">
                  <c:v>76.76115486493994</c:v>
                </c:pt>
                <c:pt idx="36">
                  <c:v>75.554871815808653</c:v>
                </c:pt>
                <c:pt idx="37">
                  <c:v>74.738007028396552</c:v>
                </c:pt>
                <c:pt idx="38">
                  <c:v>76.049880693154265</c:v>
                </c:pt>
                <c:pt idx="39">
                  <c:v>77.197320427424799</c:v>
                </c:pt>
                <c:pt idx="40">
                  <c:v>76.210194253899715</c:v>
                </c:pt>
                <c:pt idx="41">
                  <c:v>75.832226059797264</c:v>
                </c:pt>
                <c:pt idx="42">
                  <c:v>74.491355539611618</c:v>
                </c:pt>
                <c:pt idx="43">
                  <c:v>74.696274314494076</c:v>
                </c:pt>
                <c:pt idx="44">
                  <c:v>74.522092596104301</c:v>
                </c:pt>
                <c:pt idx="45">
                  <c:v>73.456129909782206</c:v>
                </c:pt>
                <c:pt idx="46">
                  <c:v>74.095870016792986</c:v>
                </c:pt>
                <c:pt idx="47">
                  <c:v>67.257398754213739</c:v>
                </c:pt>
                <c:pt idx="48">
                  <c:v>58.759107302891678</c:v>
                </c:pt>
                <c:pt idx="49">
                  <c:v>61.165143508489969</c:v>
                </c:pt>
                <c:pt idx="50">
                  <c:v>65.49914158071266</c:v>
                </c:pt>
                <c:pt idx="51">
                  <c:v>68.258943264670236</c:v>
                </c:pt>
                <c:pt idx="52">
                  <c:v>69.705154715186978</c:v>
                </c:pt>
                <c:pt idx="53">
                  <c:v>71.100177306062164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CB-4559-BC15-02260BB50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394311"/>
        <c:axId val="439396359"/>
      </c:lineChart>
      <c:dateAx>
        <c:axId val="43939431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396359"/>
        <c:crosses val="autoZero"/>
        <c:auto val="1"/>
        <c:lblOffset val="100"/>
        <c:baseTimeUnit val="months"/>
      </c:dateAx>
      <c:valAx>
        <c:axId val="439396359"/>
        <c:scaling>
          <c:orientation val="minMax"/>
          <c:max val="11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394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43</xdr:row>
      <xdr:rowOff>85725</xdr:rowOff>
    </xdr:from>
    <xdr:to>
      <xdr:col>14</xdr:col>
      <xdr:colOff>485775</xdr:colOff>
      <xdr:row>62</xdr:row>
      <xdr:rowOff>19050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6578B85C-4161-24A8-A1D9-6532AA140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80.762888194447" createdVersion="8" refreshedVersion="8" minRefreshableVersion="3" recordCount="162" xr:uid="{326CD8E6-D4EA-4A39-B18A-1A21D701B902}">
  <cacheSource type="worksheet">
    <worksheetSource name="Tabla6"/>
  </cacheSource>
  <cacheFields count="6">
    <cacheField name="Meses" numFmtId="17">
      <sharedItems containsSemiMixedTypes="0" containsNonDate="0" containsDate="1" containsString="0" minDate="2012-01-01T00:00:00" maxDate="2025-06-02T00:00:00" count="162"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</sharedItems>
      <fieldGroup par="5"/>
    </cacheField>
    <cacheField name="Base abr2012 =100" numFmtId="0">
      <sharedItems containsString="0" containsBlank="1" containsNumber="1" minValue="94.532015069743522" maxValue="246.99920872445574"/>
    </cacheField>
    <cacheField name="Base oct2016 =100" numFmtId="0">
      <sharedItems containsSemiMixedTypes="0" containsString="0" containsNumber="1" minValue="28.470289483924542" maxValue="6956.46"/>
    </cacheField>
    <cacheField name="Meses (Meses)" numFmtId="0" databaseField="0">
      <fieldGroup base="0">
        <rangePr groupBy="months" startDate="2012-01-01T00:00:00" endDate="2025-06-02T00:00:00"/>
        <groupItems count="14">
          <s v="&lt;01/01/2012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2/06/2025"/>
        </groupItems>
      </fieldGroup>
    </cacheField>
    <cacheField name="Trimestres (Meses)" numFmtId="0" databaseField="0">
      <fieldGroup base="0">
        <rangePr groupBy="quarters" startDate="2012-01-01T00:00:00" endDate="2025-06-02T00:00:00"/>
        <groupItems count="6">
          <s v="&lt;01/01/2012"/>
          <s v="Trim.1"/>
          <s v="Trim.2"/>
          <s v="Trim.3"/>
          <s v="Trim.4"/>
          <s v="&gt;02/06/2025"/>
        </groupItems>
      </fieldGroup>
    </cacheField>
    <cacheField name="Años (Meses)" numFmtId="0" databaseField="0">
      <fieldGroup base="0">
        <rangePr groupBy="years" startDate="2012-01-01T00:00:00" endDate="2025-06-02T00:00:00"/>
        <groupItems count="16">
          <s v="&lt;01/01/2012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2/0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x v="0"/>
    <n v="94.532015069743522"/>
    <n v="28.470289483924542"/>
  </r>
  <r>
    <x v="1"/>
    <n v="95.727535557944009"/>
    <n v="28.830345432778685"/>
  </r>
  <r>
    <x v="2"/>
    <n v="97.265579840348948"/>
    <n v="29.293559571680277"/>
  </r>
  <r>
    <x v="3"/>
    <n v="99.999514752773806"/>
    <n v="30.116941135370823"/>
  </r>
  <r>
    <x v="4"/>
    <n v="102.345105"/>
    <n v="30.82336459730519"/>
  </r>
  <r>
    <x v="5"/>
    <n v="104.358844"/>
    <n v="31.429844129480301"/>
  </r>
  <r>
    <x v="6"/>
    <n v="107.02364700000001"/>
    <n v="32.232405174769106"/>
  </r>
  <r>
    <x v="7"/>
    <n v="109.318668"/>
    <n v="32.923598652380683"/>
  </r>
  <r>
    <x v="8"/>
    <n v="110.794386"/>
    <n v="33.368041930413433"/>
  </r>
  <r>
    <x v="9"/>
    <n v="112.29013999999999"/>
    <n v="33.818519468053147"/>
  </r>
  <r>
    <x v="10"/>
    <n v="114.89276199999999"/>
    <n v="34.602353407301798"/>
  </r>
  <r>
    <x v="11"/>
    <n v="116.48441100000001"/>
    <n v="35.081711725786469"/>
  </r>
  <r>
    <x v="12"/>
    <n v="117.207531"/>
    <n v="35.299494407308984"/>
  </r>
  <r>
    <x v="13"/>
    <n v="118.0295287043233"/>
    <n v="35.547056173340728"/>
  </r>
  <r>
    <x v="14"/>
    <n v="121.07432118260607"/>
    <n v="36.464058981450044"/>
  </r>
  <r>
    <x v="15"/>
    <n v="123.67204298175955"/>
    <n v="37.246417122932968"/>
  </r>
  <r>
    <x v="16"/>
    <n v="128.24042879794416"/>
    <n v="38.622281866375424"/>
  </r>
  <r>
    <x v="17"/>
    <n v="130.911696334677"/>
    <n v="39.426789841834164"/>
  </r>
  <r>
    <x v="18"/>
    <n v="133.929789"/>
    <n v="40.335751443971397"/>
  </r>
  <r>
    <x v="19"/>
    <n v="136.47143025151402"/>
    <n v="41.10121975797594"/>
  </r>
  <r>
    <x v="20"/>
    <n v="139.6803328796735"/>
    <n v="42.067647763155179"/>
  </r>
  <r>
    <x v="21"/>
    <n v="141.52180318351304"/>
    <n v="42.622244981755493"/>
  </r>
  <r>
    <x v="22"/>
    <n v="144.91122285125465"/>
    <n v="43.643039461296809"/>
  </r>
  <r>
    <x v="23"/>
    <n v="146.62850909503175"/>
    <n v="44.16023605814312"/>
  </r>
  <r>
    <x v="24"/>
    <n v="149.17215602754115"/>
    <n v="44.926308424843548"/>
  </r>
  <r>
    <x v="25"/>
    <n v="152.33684437075482"/>
    <n v="45.87942037523645"/>
  </r>
  <r>
    <x v="26"/>
    <n v="156.76297775823843"/>
    <n v="47.212442830572378"/>
  </r>
  <r>
    <x v="27"/>
    <n v="164.52121901965131"/>
    <n v="49.548999122486741"/>
  </r>
  <r>
    <x v="28"/>
    <n v="169.68180245934093"/>
    <n v="51.103216541056668"/>
  </r>
  <r>
    <x v="29"/>
    <n v="174.77345524311482"/>
    <n v="52.63667405382337"/>
  </r>
  <r>
    <x v="30"/>
    <n v="180.7632207635686"/>
    <n v="54.440616963348099"/>
  </r>
  <r>
    <x v="31"/>
    <n v="184.8878936264795"/>
    <n v="55.682848289390648"/>
  </r>
  <r>
    <x v="32"/>
    <n v="187.98459706236576"/>
    <n v="56.61548516590809"/>
  </r>
  <r>
    <x v="33"/>
    <n v="190.91575837506286"/>
    <n v="57.49826557670329"/>
  </r>
  <r>
    <x v="34"/>
    <n v="194.03766820502864"/>
    <n v="58.438493884925222"/>
  </r>
  <r>
    <x v="35"/>
    <n v="195.99360580704149"/>
    <n v="59.02756531962082"/>
  </r>
  <r>
    <x v="36"/>
    <n v="199.8257992995255"/>
    <n v="60.181710378402627"/>
  </r>
  <r>
    <x v="37"/>
    <n v="201.66569207134734"/>
    <n v="60.735832490308326"/>
  </r>
  <r>
    <x v="38"/>
    <n v="208.04018065307298"/>
    <n v="62.655642779973753"/>
  </r>
  <r>
    <x v="39"/>
    <n v="210.92470364796719"/>
    <n v="63.524377087891409"/>
  </r>
  <r>
    <x v="40"/>
    <n v="217.05013605891628"/>
    <n v="65.369178913233554"/>
  </r>
  <r>
    <x v="41"/>
    <n v="225.55054076141241"/>
    <n v="67.929253216442149"/>
  </r>
  <r>
    <x v="42"/>
    <n v="233.48556905400631"/>
    <n v="70.319052612832962"/>
  </r>
  <r>
    <x v="43"/>
    <n v="239.65215789419534"/>
    <n v="72.176249555889697"/>
  </r>
  <r>
    <x v="44"/>
    <n v="244.0242058911802"/>
    <n v="73.492983066964626"/>
  </r>
  <r>
    <x v="45"/>
    <n v="246.99920872445574"/>
    <n v="74.388967266776305"/>
  </r>
  <r>
    <x v="46"/>
    <m/>
    <n v="76.05920800978204"/>
  </r>
  <r>
    <x v="47"/>
    <m/>
    <n v="77.300289323616397"/>
  </r>
  <r>
    <x v="48"/>
    <m/>
    <n v="78.442408505473125"/>
  </r>
  <r>
    <x v="49"/>
    <m/>
    <n v="79.481675007806885"/>
  </r>
  <r>
    <x v="50"/>
    <m/>
    <n v="81.800342796104374"/>
  </r>
  <r>
    <x v="51"/>
    <m/>
    <n v="85.365751000248324"/>
  </r>
  <r>
    <x v="52"/>
    <m/>
    <n v="88.195213769451726"/>
  </r>
  <r>
    <x v="53"/>
    <m/>
    <n v="89.858500356733671"/>
  </r>
  <r>
    <x v="54"/>
    <m/>
    <n v="93.789412064810733"/>
  </r>
  <r>
    <x v="55"/>
    <m/>
    <n v="96.284661706342476"/>
  </r>
  <r>
    <x v="56"/>
    <m/>
    <n v="97.579252336488835"/>
  </r>
  <r>
    <x v="57"/>
    <m/>
    <n v="100"/>
  </r>
  <r>
    <x v="58"/>
    <m/>
    <n v="101.41"/>
  </r>
  <r>
    <x v="59"/>
    <m/>
    <n v="102.79"/>
  </r>
  <r>
    <x v="60"/>
    <m/>
    <n v="104.38"/>
  </r>
  <r>
    <x v="61"/>
    <m/>
    <n v="105.76"/>
  </r>
  <r>
    <x v="62"/>
    <m/>
    <n v="108.82"/>
  </r>
  <r>
    <x v="63"/>
    <m/>
    <n v="112.63"/>
  </r>
  <r>
    <x v="64"/>
    <m/>
    <n v="114.43"/>
  </r>
  <r>
    <x v="65"/>
    <m/>
    <n v="116.45"/>
  </r>
  <r>
    <x v="66"/>
    <m/>
    <n v="121.1"/>
  </r>
  <r>
    <x v="67"/>
    <m/>
    <n v="123.95"/>
  </r>
  <r>
    <x v="68"/>
    <m/>
    <n v="125.71"/>
  </r>
  <r>
    <x v="69"/>
    <m/>
    <n v="127.62"/>
  </r>
  <r>
    <x v="70"/>
    <m/>
    <n v="129.61000000000001"/>
  </r>
  <r>
    <x v="71"/>
    <m/>
    <n v="131.03"/>
  </r>
  <r>
    <x v="72"/>
    <m/>
    <n v="132.47999999999999"/>
  </r>
  <r>
    <x v="73"/>
    <m/>
    <n v="133.59"/>
  </r>
  <r>
    <x v="74"/>
    <m/>
    <n v="136.13999999999999"/>
  </r>
  <r>
    <x v="75"/>
    <m/>
    <n v="139.81"/>
  </r>
  <r>
    <x v="76"/>
    <m/>
    <n v="141.93"/>
  </r>
  <r>
    <x v="77"/>
    <m/>
    <n v="143.13999999999999"/>
  </r>
  <r>
    <x v="78"/>
    <m/>
    <n v="146.9"/>
  </r>
  <r>
    <x v="79"/>
    <m/>
    <n v="151.05000000000001"/>
  </r>
  <r>
    <x v="80"/>
    <m/>
    <n v="155.44"/>
  </r>
  <r>
    <x v="81"/>
    <m/>
    <n v="161.12"/>
  </r>
  <r>
    <x v="82"/>
    <m/>
    <n v="165.83"/>
  </r>
  <r>
    <x v="83"/>
    <m/>
    <n v="169.94"/>
  </r>
  <r>
    <x v="84"/>
    <m/>
    <n v="175.19"/>
  </r>
  <r>
    <x v="85"/>
    <m/>
    <n v="179.84"/>
  </r>
  <r>
    <x v="86"/>
    <m/>
    <n v="186.94"/>
  </r>
  <r>
    <x v="87"/>
    <m/>
    <n v="191.11"/>
  </r>
  <r>
    <x v="88"/>
    <m/>
    <n v="196.51"/>
  </r>
  <r>
    <x v="89"/>
    <m/>
    <n v="200.44"/>
  </r>
  <r>
    <x v="90"/>
    <m/>
    <n v="209.9"/>
  </r>
  <r>
    <x v="91"/>
    <m/>
    <n v="215.02"/>
  </r>
  <r>
    <x v="92"/>
    <m/>
    <n v="220.77"/>
  </r>
  <r>
    <x v="93"/>
    <m/>
    <n v="227.92"/>
  </r>
  <r>
    <x v="94"/>
    <m/>
    <n v="233.32"/>
  </r>
  <r>
    <x v="95"/>
    <m/>
    <n v="239.44"/>
  </r>
  <r>
    <x v="96"/>
    <m/>
    <n v="253.78"/>
  </r>
  <r>
    <x v="97"/>
    <m/>
    <n v="263.55"/>
  </r>
  <r>
    <x v="98"/>
    <m/>
    <n v="271.58"/>
  </r>
  <r>
    <x v="99"/>
    <m/>
    <n v="272.02999999999997"/>
  </r>
  <r>
    <x v="100"/>
    <m/>
    <n v="271.83999999999997"/>
  </r>
  <r>
    <x v="101"/>
    <m/>
    <n v="273.47000000000003"/>
  </r>
  <r>
    <x v="102"/>
    <m/>
    <n v="278.37"/>
  </r>
  <r>
    <x v="103"/>
    <m/>
    <n v="283.92"/>
  </r>
  <r>
    <x v="104"/>
    <m/>
    <n v="291.02"/>
  </r>
  <r>
    <x v="105"/>
    <m/>
    <n v="302.94"/>
  </r>
  <r>
    <x v="106"/>
    <m/>
    <n v="312.92"/>
  </r>
  <r>
    <x v="107"/>
    <m/>
    <n v="318.42"/>
  </r>
  <r>
    <x v="108"/>
    <m/>
    <n v="328.84"/>
  </r>
  <r>
    <x v="109"/>
    <m/>
    <n v="343.06"/>
  </r>
  <r>
    <x v="110"/>
    <m/>
    <n v="360.28"/>
  </r>
  <r>
    <x v="111"/>
    <m/>
    <n v="371.84"/>
  </r>
  <r>
    <x v="112"/>
    <m/>
    <n v="382.42"/>
  </r>
  <r>
    <x v="113"/>
    <m/>
    <n v="391.16"/>
  </r>
  <r>
    <x v="114"/>
    <m/>
    <n v="410.37"/>
  </r>
  <r>
    <x v="115"/>
    <m/>
    <n v="423.41"/>
  </r>
  <r>
    <x v="116"/>
    <m/>
    <n v="440.34"/>
  </r>
  <r>
    <x v="117"/>
    <m/>
    <n v="458.07"/>
  </r>
  <r>
    <x v="118"/>
    <m/>
    <n v="476.11"/>
  </r>
  <r>
    <x v="119"/>
    <m/>
    <n v="488.33"/>
  </r>
  <r>
    <x v="120"/>
    <m/>
    <n v="506.68"/>
  </r>
  <r>
    <x v="121"/>
    <m/>
    <n v="522.55999999999995"/>
  </r>
  <r>
    <x v="122"/>
    <m/>
    <n v="561.16"/>
  </r>
  <r>
    <x v="123"/>
    <m/>
    <n v="589.01"/>
  </r>
  <r>
    <x v="124"/>
    <m/>
    <n v="625.63"/>
  </r>
  <r>
    <x v="125"/>
    <m/>
    <n v="655.94"/>
  </r>
  <r>
    <x v="126"/>
    <m/>
    <n v="692.32"/>
  </r>
  <r>
    <x v="127"/>
    <m/>
    <n v="737.46"/>
  </r>
  <r>
    <x v="128"/>
    <m/>
    <n v="787.08"/>
  </r>
  <r>
    <x v="129"/>
    <m/>
    <n v="827.54"/>
  </r>
  <r>
    <x v="130"/>
    <m/>
    <n v="883.06"/>
  </r>
  <r>
    <x v="131"/>
    <m/>
    <n v="929.56"/>
  </r>
  <r>
    <x v="132"/>
    <m/>
    <n v="973.35"/>
  </r>
  <r>
    <x v="133"/>
    <m/>
    <n v="1031.74"/>
  </r>
  <r>
    <x v="134"/>
    <m/>
    <n v="1136.04"/>
  </r>
  <r>
    <x v="135"/>
    <m/>
    <n v="1200.49"/>
  </r>
  <r>
    <x v="136"/>
    <m/>
    <n v="1290.46"/>
  </r>
  <r>
    <x v="137"/>
    <m/>
    <n v="1368.71"/>
  </r>
  <r>
    <x v="138"/>
    <m/>
    <n v="1519.5"/>
  </r>
  <r>
    <x v="139"/>
    <m/>
    <n v="1635.33"/>
  </r>
  <r>
    <x v="140"/>
    <m/>
    <n v="1826.29"/>
  </r>
  <r>
    <x v="141"/>
    <m/>
    <n v="1978.41"/>
  </r>
  <r>
    <x v="142"/>
    <m/>
    <n v="2157.73"/>
  </r>
  <r>
    <x v="143"/>
    <m/>
    <n v="2348.79"/>
  </r>
  <r>
    <x v="144"/>
    <m/>
    <n v="2734.97"/>
  </r>
  <r>
    <x v="145"/>
    <m/>
    <n v="3099.2"/>
  </r>
  <r>
    <x v="146"/>
    <m/>
    <n v="3417.34"/>
  </r>
  <r>
    <x v="147"/>
    <m/>
    <n v="3764.21"/>
  </r>
  <r>
    <x v="148"/>
    <m/>
    <n v="4077.32"/>
  </r>
  <r>
    <x v="149"/>
    <m/>
    <n v="4329.8"/>
  </r>
  <r>
    <x v="150"/>
    <m/>
    <n v="4653.26"/>
  </r>
  <r>
    <x v="151"/>
    <m/>
    <n v="4916.1899999999996"/>
  </r>
  <r>
    <x v="152"/>
    <m/>
    <n v="5147.6099999999997"/>
  </r>
  <r>
    <x v="153"/>
    <m/>
    <n v="5383.96"/>
  </r>
  <r>
    <x v="154"/>
    <m/>
    <n v="5591"/>
  </r>
  <r>
    <x v="155"/>
    <m/>
    <n v="5765.54"/>
  </r>
  <r>
    <x v="156"/>
    <m/>
    <n v="5934.47"/>
  </r>
  <r>
    <x v="157"/>
    <m/>
    <n v="6161.52"/>
  </r>
  <r>
    <x v="158"/>
    <m/>
    <n v="6344.81"/>
  </r>
  <r>
    <x v="159"/>
    <m/>
    <n v="6559.31"/>
  </r>
  <r>
    <x v="160"/>
    <m/>
    <n v="6755.22"/>
  </r>
  <r>
    <x v="161"/>
    <m/>
    <n v="6956.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6B94C-7FCA-4FCE-AD8A-B373B87802E0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H3:J58" firstHeaderRow="1" firstDataRow="1" firstDataCol="2"/>
  <pivotFields count="6">
    <pivotField compact="0" numFmtId="17" outline="0" showAll="0" defaultSubtotal="0">
      <items count="1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</items>
    </pivotField>
    <pivotField compact="0" outline="0" showAll="0" defaultSubtotal="0"/>
    <pivotField dataField="1" compact="0" outline="0" showAll="0" defaultSubtota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compact="0" outline="0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2">
    <field x="5"/>
    <field x="4"/>
  </rowFields>
  <rowItems count="55">
    <i>
      <x v="1"/>
      <x v="1"/>
    </i>
    <i r="1">
      <x v="2"/>
    </i>
    <i r="1">
      <x v="3"/>
    </i>
    <i r="1">
      <x v="4"/>
    </i>
    <i>
      <x v="2"/>
      <x v="1"/>
    </i>
    <i r="1">
      <x v="2"/>
    </i>
    <i r="1">
      <x v="3"/>
    </i>
    <i r="1">
      <x v="4"/>
    </i>
    <i>
      <x v="3"/>
      <x v="1"/>
    </i>
    <i r="1">
      <x v="2"/>
    </i>
    <i r="1">
      <x v="3"/>
    </i>
    <i r="1">
      <x v="4"/>
    </i>
    <i>
      <x v="4"/>
      <x v="1"/>
    </i>
    <i r="1">
      <x v="2"/>
    </i>
    <i r="1">
      <x v="3"/>
    </i>
    <i r="1">
      <x v="4"/>
    </i>
    <i>
      <x v="5"/>
      <x v="1"/>
    </i>
    <i r="1">
      <x v="2"/>
    </i>
    <i r="1">
      <x v="3"/>
    </i>
    <i r="1">
      <x v="4"/>
    </i>
    <i>
      <x v="6"/>
      <x v="1"/>
    </i>
    <i r="1">
      <x v="2"/>
    </i>
    <i r="1">
      <x v="3"/>
    </i>
    <i r="1">
      <x v="4"/>
    </i>
    <i>
      <x v="7"/>
      <x v="1"/>
    </i>
    <i r="1">
      <x v="2"/>
    </i>
    <i r="1">
      <x v="3"/>
    </i>
    <i r="1">
      <x v="4"/>
    </i>
    <i>
      <x v="8"/>
      <x v="1"/>
    </i>
    <i r="1">
      <x v="2"/>
    </i>
    <i r="1">
      <x v="3"/>
    </i>
    <i r="1">
      <x v="4"/>
    </i>
    <i>
      <x v="9"/>
      <x v="1"/>
    </i>
    <i r="1">
      <x v="2"/>
    </i>
    <i r="1">
      <x v="3"/>
    </i>
    <i r="1">
      <x v="4"/>
    </i>
    <i>
      <x v="10"/>
      <x v="1"/>
    </i>
    <i r="1">
      <x v="2"/>
    </i>
    <i r="1">
      <x v="3"/>
    </i>
    <i r="1">
      <x v="4"/>
    </i>
    <i>
      <x v="11"/>
      <x v="1"/>
    </i>
    <i r="1">
      <x v="2"/>
    </i>
    <i r="1">
      <x v="3"/>
    </i>
    <i r="1">
      <x v="4"/>
    </i>
    <i>
      <x v="12"/>
      <x v="1"/>
    </i>
    <i r="1">
      <x v="2"/>
    </i>
    <i r="1">
      <x v="3"/>
    </i>
    <i r="1">
      <x v="4"/>
    </i>
    <i>
      <x v="13"/>
      <x v="1"/>
    </i>
    <i r="1">
      <x v="2"/>
    </i>
    <i r="1">
      <x v="3"/>
    </i>
    <i r="1">
      <x v="4"/>
    </i>
    <i>
      <x v="14"/>
      <x v="1"/>
    </i>
    <i r="1">
      <x v="2"/>
    </i>
    <i t="grand">
      <x/>
    </i>
  </rowItems>
  <colItems count="1">
    <i/>
  </colItems>
  <dataFields count="1">
    <dataField name="Promedio de Base oct2016 =100" fld="2" subtotal="average" baseField="5" baseItem="1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AD118376-2479-48A9-902E-E9C0E7C05C63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Fecha" tableColumnId="1"/>
      <queryTableField id="2" name="VAB Sector Público" tableColumnId="2"/>
      <queryTableField id="3" name="VAB Sector Privado" tableColumnId="3"/>
      <queryTableField id="4" name="VAB Industria Manufacturera" tableColumnId="4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5EFB80C-8894-47C8-B9CE-73C73AFD3EA6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Sector Privado" tableColumnId="2"/>
      <queryTableField id="3" name="Sector Público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682E8FD3-9F0D-42D9-8B36-1D120A926595}" autoFormatId="16" applyNumberFormats="0" applyBorderFormats="0" applyFontFormats="0" applyPatternFormats="0" applyAlignmentFormats="0" applyWidthHeightFormats="0">
  <queryTableRefresh nextId="3">
    <queryTableFields count="2">
      <queryTableField id="1" name="Fecha" tableColumnId="1"/>
      <queryTableField id="2" name="Salarios_Ind_Trim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D44C386-5D00-4DDD-88A8-A3E874E7185B}" autoFormatId="16" applyNumberFormats="0" applyBorderFormats="0" applyFontFormats="0" applyPatternFormats="0" applyAlignmentFormats="0" applyWidthHeightFormats="0">
  <queryTableRefresh nextId="10" unboundColumnsRight="5">
    <queryTableFields count="8">
      <queryTableField id="1" name="Fecha" tableColumnId="1"/>
      <queryTableField id="2" name="Puestos_sector_privado " tableColumnId="2"/>
      <queryTableField id="3" name="Puestos_sector_publico TRIMESTRAL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2CE119-61A4-4B74-BB23-9B6E4D1C31D0}" name="VAB_trim" displayName="VAB_trim" ref="A1:E87" tableType="queryTable" totalsRowShown="0">
  <autoFilter ref="A1:E87" xr:uid="{8E2CE119-61A4-4B74-BB23-9B6E4D1C31D0}"/>
  <tableColumns count="5">
    <tableColumn id="1" xr3:uid="{1DECE0AB-6D99-4993-A502-52781A4C8EF9}" uniqueName="1" name="Fecha" queryTableFieldId="1" dataDxfId="12"/>
    <tableColumn id="2" xr3:uid="{D4F262CA-BB17-4D1B-BD63-DC1F65D4D4B3}" uniqueName="2" name="VAB Sector Público" queryTableFieldId="2"/>
    <tableColumn id="3" xr3:uid="{30C44ACA-B127-4160-B277-B47DB553A468}" uniqueName="3" name="VAB Sector Privado" queryTableFieldId="3"/>
    <tableColumn id="4" xr3:uid="{3C64D160-F6FB-4DBF-8354-1C44E0949B19}" uniqueName="4" name="VAB Industria Manufacturera" queryTableFieldId="4"/>
    <tableColumn id="5" xr3:uid="{1BD0193A-06EB-4E58-8835-77BBD51BB2F7}" uniqueName="5" name="VAB General" queryTableFieldId="5">
      <calculatedColumnFormula>+(G2/$G$22)*$H$22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87FF2B-61BF-467B-9C27-2262081FCC39}" name="Salario_sector_trim" displayName="Salario_sector_trim" ref="A1:C81" tableType="queryTable" totalsRowShown="0">
  <autoFilter ref="A1:C81" xr:uid="{ED87FF2B-61BF-467B-9C27-2262081FCC39}"/>
  <tableColumns count="3">
    <tableColumn id="1" xr3:uid="{E14B0860-E714-4B97-8AC3-D87F6544D351}" uniqueName="1" name="Fecha" queryTableFieldId="1" dataDxfId="11"/>
    <tableColumn id="2" xr3:uid="{3E088543-2328-4D26-94A1-82B9AECECC94}" uniqueName="2" name="Sector Privado" queryTableFieldId="2"/>
    <tableColumn id="3" xr3:uid="{7FEE2915-A950-43A2-B098-01C9D24F08E6}" uniqueName="3" name="Sector Público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3BBE39-A08B-4023-A190-27A70F57DED9}" name="Salarios_Ind_Trim" displayName="Salarios_Ind_Trim" ref="A1:B85" tableType="queryTable" totalsRowShown="0">
  <autoFilter ref="A1:B85" xr:uid="{2C3BBE39-A08B-4023-A190-27A70F57DED9}"/>
  <tableColumns count="2">
    <tableColumn id="1" xr3:uid="{18680829-EA4E-438C-A898-9955E293DDD0}" uniqueName="1" name="Fecha" queryTableFieldId="1" dataDxfId="10"/>
    <tableColumn id="2" xr3:uid="{CCF10498-B14E-4D80-B946-80B3A17F436F}" uniqueName="2" name="Salarios_Ind_Trim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F29063-DCA1-4F15-8120-CB4EF6E650A1}" name="Puesto_desest_trim" displayName="Puesto_desest_trim" ref="A1:H67" tableType="queryTable" totalsRowShown="0">
  <autoFilter ref="A1:H67" xr:uid="{65F29063-DCA1-4F15-8120-CB4EF6E650A1}"/>
  <tableColumns count="8">
    <tableColumn id="1" xr3:uid="{E36F27C6-7C93-4EF8-8CCC-4B9D18C80672}" uniqueName="1" name="Fecha" queryTableFieldId="1" dataDxfId="9"/>
    <tableColumn id="2" xr3:uid="{346FF22E-DFD0-4027-8D51-93DBF7F67BDE}" uniqueName="2" name="Puestos_sector_privado " queryTableFieldId="2" dataDxfId="8"/>
    <tableColumn id="3" xr3:uid="{2CAA2FF1-DB41-4BEF-81FF-8224A6F3E69B}" uniqueName="3" name="Puestos_sector_publico TRIMESTRAL" queryTableFieldId="3" dataDxfId="7"/>
    <tableColumn id="4" xr3:uid="{26220657-BE3D-474C-8272-F83E6FEBF716}" uniqueName="4" name="Puestos_Industria" queryTableFieldId="4" dataDxfId="6"/>
    <tableColumn id="5" xr3:uid="{B821C684-B5B4-4FD2-8592-B88FD5C77656}" uniqueName="5" name="Puestos_Comercio" queryTableFieldId="5" dataDxfId="5"/>
    <tableColumn id="6" xr3:uid="{3C7C4149-B235-47A5-B323-003754D5F12F}" uniqueName="6" name="Puestos_Transporte" queryTableFieldId="6" dataDxfId="4"/>
    <tableColumn id="7" xr3:uid="{18EBD513-8FEC-4B64-8962-924F092B3803}" uniqueName="7" name="Puestos_Acts_Inmob" queryTableFieldId="7" dataDxfId="3"/>
    <tableColumn id="8" xr3:uid="{8243166A-32BD-4AD9-BCFA-4B9AC3256C8A}" uniqueName="8" name="Puestos_Total" queryTableFieldId="8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956215-22F7-420C-8886-9C6B69BDEA98}" name="Tabla3" displayName="Tabla3" ref="C1:C241" totalsRowShown="0">
  <autoFilter ref="C1:C241" xr:uid="{7F55E8D1-A1EE-47E2-B572-BB2B364FBA3F}"/>
  <tableColumns count="1">
    <tableColumn id="1" xr3:uid="{14009741-FFD0-4374-B98A-A565BBAD30AC}" name="IPC tri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A6C64B-783F-4FBC-B0F4-E5F69DC5C654}" name="Tabla6" displayName="Tabla6" ref="D2:F164" totalsRowShown="0">
  <autoFilter ref="D2:F164" xr:uid="{C8A6C64B-783F-4FBC-B0F4-E5F69DC5C654}"/>
  <tableColumns count="3">
    <tableColumn id="1" xr3:uid="{6249D36E-9CB5-46ED-B413-C68C6B26B16E}" name="Meses" dataDxfId="1" dataCellStyle="Normal 2"/>
    <tableColumn id="2" xr3:uid="{92B92F89-F164-4CD7-B84F-2A3A1DC1AAD6}" name="Base abr2012 =100"/>
    <tableColumn id="3" xr3:uid="{B0833C73-9403-44E6-B81B-B095F4FC6AC4}" name="Base oct2016 =10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0272-A62D-45A4-AD41-F54CAE6E0AF5}">
  <dimension ref="A1:H87"/>
  <sheetViews>
    <sheetView workbookViewId="0">
      <selection activeCell="F12" sqref="F12"/>
    </sheetView>
  </sheetViews>
  <sheetFormatPr baseColWidth="10" defaultColWidth="11.44140625" defaultRowHeight="14.4" x14ac:dyDescent="0.3"/>
  <cols>
    <col min="1" max="1" width="11.109375" bestFit="1" customWidth="1"/>
    <col min="2" max="3" width="20.33203125" bestFit="1" customWidth="1"/>
    <col min="4" max="4" width="29" bestFit="1" customWidth="1"/>
    <col min="5" max="5" width="14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">
      <c r="A2" s="1">
        <v>38077</v>
      </c>
      <c r="B2">
        <v>79.574416821471033</v>
      </c>
      <c r="C2">
        <v>81.050441629392253</v>
      </c>
      <c r="D2">
        <v>86.680343181919199</v>
      </c>
      <c r="E2">
        <f t="shared" ref="E2:E33" si="0">+(G2/$G$22)*$H$22</f>
        <v>80.908338422379543</v>
      </c>
      <c r="G2" s="3">
        <v>390786.93271000002</v>
      </c>
    </row>
    <row r="3" spans="1:7" x14ac:dyDescent="0.3">
      <c r="A3" s="1">
        <v>38168</v>
      </c>
      <c r="B3">
        <v>82.102939131735681</v>
      </c>
      <c r="C3">
        <v>91.996597822714733</v>
      </c>
      <c r="D3">
        <v>91.946604713773866</v>
      </c>
      <c r="E3">
        <f t="shared" si="0"/>
        <v>91.044093082341803</v>
      </c>
      <c r="G3" s="4">
        <v>439742.58489</v>
      </c>
    </row>
    <row r="4" spans="1:7" x14ac:dyDescent="0.3">
      <c r="A4" s="1">
        <v>38260</v>
      </c>
      <c r="B4">
        <v>83.249035372263762</v>
      </c>
      <c r="C4">
        <v>84.276861006527668</v>
      </c>
      <c r="D4">
        <v>93.98071324584204</v>
      </c>
      <c r="E4">
        <f t="shared" si="0"/>
        <v>84.177907845824379</v>
      </c>
      <c r="G4" s="3">
        <v>406578.93920999998</v>
      </c>
    </row>
    <row r="5" spans="1:7" x14ac:dyDescent="0.3">
      <c r="A5" s="1">
        <v>38352</v>
      </c>
      <c r="B5">
        <v>84.060298357923386</v>
      </c>
      <c r="C5">
        <v>85.570151216165996</v>
      </c>
      <c r="D5">
        <v>95.845189668230972</v>
      </c>
      <c r="E5">
        <f t="shared" si="0"/>
        <v>85.424791238905357</v>
      </c>
      <c r="G5" s="4">
        <v>412601.38072999998</v>
      </c>
    </row>
    <row r="6" spans="1:7" x14ac:dyDescent="0.3">
      <c r="A6" s="1">
        <v>38442</v>
      </c>
      <c r="B6">
        <v>84.688107171210859</v>
      </c>
      <c r="C6">
        <v>87.115981286838505</v>
      </c>
      <c r="D6">
        <v>91.983011243705377</v>
      </c>
      <c r="E6">
        <f t="shared" si="0"/>
        <v>86.882239484930594</v>
      </c>
      <c r="G6" s="3">
        <v>419640.84960000002</v>
      </c>
    </row>
    <row r="7" spans="1:7" x14ac:dyDescent="0.3">
      <c r="A7" s="1">
        <v>38533</v>
      </c>
      <c r="B7">
        <v>87.023394328665233</v>
      </c>
      <c r="C7">
        <v>104.94132553799467</v>
      </c>
      <c r="D7">
        <v>99.774817436766256</v>
      </c>
      <c r="E7">
        <f t="shared" si="0"/>
        <v>103.21628984060271</v>
      </c>
      <c r="G7" s="4">
        <v>498534.2438</v>
      </c>
    </row>
    <row r="8" spans="1:7" x14ac:dyDescent="0.3">
      <c r="A8" s="1">
        <v>38625</v>
      </c>
      <c r="B8">
        <v>87.86552626560092</v>
      </c>
      <c r="C8">
        <v>90.81779876922586</v>
      </c>
      <c r="D8">
        <v>100.41685459740941</v>
      </c>
      <c r="E8">
        <f t="shared" si="0"/>
        <v>90.533570896594298</v>
      </c>
      <c r="G8" s="3">
        <v>437276.76488999999</v>
      </c>
    </row>
    <row r="9" spans="1:7" x14ac:dyDescent="0.3">
      <c r="A9" s="1">
        <v>38717</v>
      </c>
      <c r="B9">
        <v>89.30222787564702</v>
      </c>
      <c r="C9">
        <v>92.608554552519379</v>
      </c>
      <c r="D9">
        <v>103.62900948818175</v>
      </c>
      <c r="E9">
        <f t="shared" si="0"/>
        <v>92.290240375399932</v>
      </c>
      <c r="G9" s="4">
        <v>445761.47104999999</v>
      </c>
    </row>
    <row r="10" spans="1:7" x14ac:dyDescent="0.3">
      <c r="A10" s="1">
        <v>38807</v>
      </c>
      <c r="B10">
        <v>87.435469490112567</v>
      </c>
      <c r="C10">
        <v>94.127492254446494</v>
      </c>
      <c r="D10">
        <v>100.11267098423615</v>
      </c>
      <c r="E10">
        <f t="shared" si="0"/>
        <v>93.483222665426297</v>
      </c>
      <c r="G10" s="3">
        <v>451523.57046999998</v>
      </c>
    </row>
    <row r="11" spans="1:7" x14ac:dyDescent="0.3">
      <c r="A11" s="1">
        <v>38898</v>
      </c>
      <c r="B11">
        <v>90.027517384103533</v>
      </c>
      <c r="C11">
        <v>110.88315696610584</v>
      </c>
      <c r="D11">
        <v>108.21084335819732</v>
      </c>
      <c r="E11">
        <f t="shared" si="0"/>
        <v>108.87529554693039</v>
      </c>
      <c r="G11" s="4">
        <v>525867.21745</v>
      </c>
    </row>
    <row r="12" spans="1:7" x14ac:dyDescent="0.3">
      <c r="A12" s="1">
        <v>38990</v>
      </c>
      <c r="B12">
        <v>91.478404015287694</v>
      </c>
      <c r="C12">
        <v>99.733213462247733</v>
      </c>
      <c r="D12">
        <v>110.60825436906599</v>
      </c>
      <c r="E12">
        <f t="shared" si="0"/>
        <v>98.938487731819066</v>
      </c>
      <c r="G12" s="3">
        <v>477872.47769000003</v>
      </c>
    </row>
    <row r="13" spans="1:7" x14ac:dyDescent="0.3">
      <c r="A13" s="1">
        <v>39082</v>
      </c>
      <c r="B13">
        <v>92.214486493353306</v>
      </c>
      <c r="C13">
        <v>100.75917664812455</v>
      </c>
      <c r="D13">
        <v>112.88921454793493</v>
      </c>
      <c r="E13">
        <f t="shared" si="0"/>
        <v>99.936542863740826</v>
      </c>
      <c r="G13" s="4">
        <v>482693.07975999999</v>
      </c>
    </row>
    <row r="14" spans="1:7" x14ac:dyDescent="0.3">
      <c r="A14" s="1">
        <v>39172</v>
      </c>
      <c r="B14">
        <v>92.693469244987654</v>
      </c>
      <c r="C14">
        <v>101.37748860596719</v>
      </c>
      <c r="D14">
        <v>106.39489217836339</v>
      </c>
      <c r="E14">
        <f t="shared" si="0"/>
        <v>100.54144100368629</v>
      </c>
      <c r="G14" s="3">
        <v>485614.73521999997</v>
      </c>
    </row>
    <row r="15" spans="1:7" x14ac:dyDescent="0.3">
      <c r="A15" s="1">
        <v>39263</v>
      </c>
      <c r="B15">
        <v>95.610892416957029</v>
      </c>
      <c r="C15">
        <v>121.59657548269183</v>
      </c>
      <c r="D15">
        <v>115.73286766874517</v>
      </c>
      <c r="E15">
        <f t="shared" si="0"/>
        <v>119.09482288680428</v>
      </c>
      <c r="G15" s="4">
        <v>575227.49132000003</v>
      </c>
    </row>
    <row r="16" spans="1:7" x14ac:dyDescent="0.3">
      <c r="A16" s="1">
        <v>39355</v>
      </c>
      <c r="B16">
        <v>96.129263248672984</v>
      </c>
      <c r="C16">
        <v>106.78246588828162</v>
      </c>
      <c r="D16">
        <v>117.50466087619959</v>
      </c>
      <c r="E16">
        <f t="shared" si="0"/>
        <v>105.75683660971788</v>
      </c>
      <c r="G16" s="3">
        <v>510805.07396000001</v>
      </c>
    </row>
    <row r="17" spans="1:8" x14ac:dyDescent="0.3">
      <c r="A17" s="1">
        <v>39447</v>
      </c>
      <c r="B17">
        <v>97.496593341832011</v>
      </c>
      <c r="C17">
        <v>109.11183116654533</v>
      </c>
      <c r="D17">
        <v>124.72181512274585</v>
      </c>
      <c r="E17">
        <f t="shared" si="0"/>
        <v>107.99358265550396</v>
      </c>
      <c r="G17" s="4">
        <v>521608.54791000002</v>
      </c>
    </row>
    <row r="18" spans="1:8" x14ac:dyDescent="0.3">
      <c r="A18" s="1">
        <v>39538</v>
      </c>
      <c r="B18">
        <v>95.683905102465147</v>
      </c>
      <c r="C18">
        <v>107.55788240347945</v>
      </c>
      <c r="D18">
        <v>113.78074046938269</v>
      </c>
      <c r="E18">
        <f t="shared" si="0"/>
        <v>106.41472393887672</v>
      </c>
      <c r="G18" s="3">
        <v>513982.66697999998</v>
      </c>
    </row>
    <row r="19" spans="1:8" x14ac:dyDescent="0.3">
      <c r="A19" s="1">
        <v>39629</v>
      </c>
      <c r="B19">
        <v>100.00369168935779</v>
      </c>
      <c r="C19">
        <v>127.68614536594829</v>
      </c>
      <c r="D19">
        <v>123.77980738973879</v>
      </c>
      <c r="E19">
        <f t="shared" si="0"/>
        <v>125.02103742316592</v>
      </c>
      <c r="G19" s="4">
        <v>603851.08248999994</v>
      </c>
    </row>
    <row r="20" spans="1:8" x14ac:dyDescent="0.3">
      <c r="A20" s="1">
        <v>39721</v>
      </c>
      <c r="B20">
        <v>101.36775164917123</v>
      </c>
      <c r="C20">
        <v>112.9093425026449</v>
      </c>
      <c r="D20">
        <v>126.38869774842678</v>
      </c>
      <c r="E20">
        <f t="shared" si="0"/>
        <v>111.79818430063105</v>
      </c>
      <c r="G20" s="3">
        <v>539984.75777999999</v>
      </c>
    </row>
    <row r="21" spans="1:8" x14ac:dyDescent="0.3">
      <c r="A21" s="1">
        <v>39813</v>
      </c>
      <c r="B21">
        <v>101.61314327657107</v>
      </c>
      <c r="C21">
        <v>106.8061805438074</v>
      </c>
      <c r="D21">
        <v>117.21972351591261</v>
      </c>
      <c r="E21">
        <f t="shared" si="0"/>
        <v>106.30622468660906</v>
      </c>
      <c r="G21" s="4">
        <v>513458.61605000001</v>
      </c>
    </row>
    <row r="22" spans="1:8" x14ac:dyDescent="0.3">
      <c r="A22" s="1">
        <v>39903</v>
      </c>
      <c r="B22">
        <v>100</v>
      </c>
      <c r="C22">
        <v>100</v>
      </c>
      <c r="D22">
        <v>100</v>
      </c>
      <c r="E22">
        <f t="shared" si="0"/>
        <v>100</v>
      </c>
      <c r="G22" s="3">
        <v>482999.57746</v>
      </c>
      <c r="H22">
        <v>100</v>
      </c>
    </row>
    <row r="23" spans="1:8" x14ac:dyDescent="0.3">
      <c r="A23" s="1">
        <v>39994</v>
      </c>
      <c r="B23">
        <v>101.90587828685094</v>
      </c>
      <c r="C23">
        <v>111.19033954901529</v>
      </c>
      <c r="D23">
        <v>110.57715076505836</v>
      </c>
      <c r="E23">
        <f t="shared" si="0"/>
        <v>110.29648484405116</v>
      </c>
      <c r="G23" s="4">
        <v>532731.55575000006</v>
      </c>
    </row>
    <row r="24" spans="1:8" x14ac:dyDescent="0.3">
      <c r="A24" s="1">
        <v>40086</v>
      </c>
      <c r="B24">
        <v>105.63581604055146</v>
      </c>
      <c r="C24">
        <v>106.23075418213548</v>
      </c>
      <c r="D24">
        <v>115.7380047972983</v>
      </c>
      <c r="E24">
        <f t="shared" si="0"/>
        <v>106.17347694728976</v>
      </c>
      <c r="G24" s="3">
        <v>512817.44503</v>
      </c>
    </row>
    <row r="25" spans="1:8" x14ac:dyDescent="0.3">
      <c r="A25" s="1">
        <v>40178</v>
      </c>
      <c r="B25">
        <v>106.25844096315269</v>
      </c>
      <c r="C25">
        <v>107.39448937513762</v>
      </c>
      <c r="D25">
        <v>119.92179129911766</v>
      </c>
      <c r="E25">
        <f t="shared" si="0"/>
        <v>107.28511714545218</v>
      </c>
      <c r="G25" s="4">
        <v>518186.66249000002</v>
      </c>
    </row>
    <row r="26" spans="1:8" x14ac:dyDescent="0.3">
      <c r="A26" s="1">
        <v>40268</v>
      </c>
      <c r="B26">
        <v>105.43634920537666</v>
      </c>
      <c r="C26">
        <v>106.45483727285192</v>
      </c>
      <c r="D26">
        <v>110.20360730233057</v>
      </c>
      <c r="E26">
        <f t="shared" si="0"/>
        <v>106.35678308073524</v>
      </c>
      <c r="G26" s="3">
        <v>513702.81287999998</v>
      </c>
    </row>
    <row r="27" spans="1:8" x14ac:dyDescent="0.3">
      <c r="A27" s="1">
        <v>40359</v>
      </c>
      <c r="B27">
        <v>107.8046530887226</v>
      </c>
      <c r="C27">
        <v>130.8545193742618</v>
      </c>
      <c r="D27">
        <v>123.96880964436031</v>
      </c>
      <c r="E27">
        <f t="shared" si="0"/>
        <v>128.63541038841885</v>
      </c>
      <c r="G27" s="4">
        <v>621308.48864</v>
      </c>
    </row>
    <row r="28" spans="1:8" x14ac:dyDescent="0.3">
      <c r="A28" s="1">
        <v>40451</v>
      </c>
      <c r="B28">
        <v>107.55341605529691</v>
      </c>
      <c r="C28">
        <v>116.18967444526437</v>
      </c>
      <c r="D28">
        <v>129.32731952461842</v>
      </c>
      <c r="E28">
        <f t="shared" si="0"/>
        <v>115.3582249947503</v>
      </c>
      <c r="G28" s="3">
        <v>557179.73929000006</v>
      </c>
    </row>
    <row r="29" spans="1:8" x14ac:dyDescent="0.3">
      <c r="A29" s="1">
        <v>40543</v>
      </c>
      <c r="B29">
        <v>108.00647776504174</v>
      </c>
      <c r="C29">
        <v>116.74149473577846</v>
      </c>
      <c r="D29">
        <v>131.41247791472645</v>
      </c>
      <c r="E29">
        <f t="shared" si="0"/>
        <v>115.90053737601049</v>
      </c>
      <c r="G29" s="4">
        <v>559799.10580000002</v>
      </c>
    </row>
    <row r="30" spans="1:8" x14ac:dyDescent="0.3">
      <c r="A30" s="1">
        <v>40633</v>
      </c>
      <c r="B30">
        <v>108.18360396295132</v>
      </c>
      <c r="C30">
        <v>114.97541145695685</v>
      </c>
      <c r="D30">
        <v>121.75917583472003</v>
      </c>
      <c r="E30">
        <f t="shared" si="0"/>
        <v>114.32153516650408</v>
      </c>
      <c r="G30" s="3">
        <v>552172.5318</v>
      </c>
    </row>
    <row r="31" spans="1:8" x14ac:dyDescent="0.3">
      <c r="A31" s="1">
        <v>40724</v>
      </c>
      <c r="B31">
        <v>110.67064583976934</v>
      </c>
      <c r="C31">
        <v>136.41179149401313</v>
      </c>
      <c r="D31">
        <v>136.37837479199641</v>
      </c>
      <c r="E31">
        <f t="shared" si="0"/>
        <v>133.93358155754774</v>
      </c>
      <c r="G31" s="4">
        <v>646898.63300000003</v>
      </c>
    </row>
    <row r="32" spans="1:8" x14ac:dyDescent="0.3">
      <c r="A32" s="1">
        <v>40816</v>
      </c>
      <c r="B32">
        <v>112.11433731088292</v>
      </c>
      <c r="C32">
        <v>123.3247388684067</v>
      </c>
      <c r="D32">
        <v>138.59931149569994</v>
      </c>
      <c r="E32">
        <f t="shared" si="0"/>
        <v>122.24546567204774</v>
      </c>
      <c r="G32" s="3">
        <v>590445.08265999996</v>
      </c>
    </row>
    <row r="33" spans="1:7" x14ac:dyDescent="0.3">
      <c r="A33" s="1">
        <v>40908</v>
      </c>
      <c r="B33">
        <v>112.20029106517177</v>
      </c>
      <c r="C33">
        <v>121.96844360635359</v>
      </c>
      <c r="D33">
        <v>136.11833680711797</v>
      </c>
      <c r="E33">
        <f t="shared" si="0"/>
        <v>121.02802187822022</v>
      </c>
      <c r="G33" s="4">
        <v>584564.83427999995</v>
      </c>
    </row>
    <row r="34" spans="1:7" x14ac:dyDescent="0.3">
      <c r="A34" s="1">
        <v>40999</v>
      </c>
      <c r="B34">
        <v>112.65237568434732</v>
      </c>
      <c r="C34">
        <v>115.92395977125601</v>
      </c>
      <c r="D34">
        <v>120.99768120367251</v>
      </c>
      <c r="E34">
        <f t="shared" ref="E34:E65" si="1">+(G34/$G$22)*$H$22</f>
        <v>115.60899041081328</v>
      </c>
      <c r="G34" s="3">
        <v>558390.93518999999</v>
      </c>
    </row>
    <row r="35" spans="1:7" x14ac:dyDescent="0.3">
      <c r="A35" s="1">
        <v>41090</v>
      </c>
      <c r="B35">
        <v>114.80337501925307</v>
      </c>
      <c r="C35">
        <v>128.6397937810998</v>
      </c>
      <c r="D35">
        <v>128.44264552772711</v>
      </c>
      <c r="E35">
        <f t="shared" si="1"/>
        <v>127.30770270516916</v>
      </c>
      <c r="G35" s="4">
        <v>614895.66613999999</v>
      </c>
    </row>
    <row r="36" spans="1:7" x14ac:dyDescent="0.3">
      <c r="A36" s="1">
        <v>41182</v>
      </c>
      <c r="B36">
        <v>114.90336785538562</v>
      </c>
      <c r="C36">
        <v>121.31357493668875</v>
      </c>
      <c r="D36">
        <v>132.66022201360096</v>
      </c>
      <c r="E36">
        <f t="shared" si="1"/>
        <v>120.69643694631982</v>
      </c>
      <c r="G36" s="3">
        <v>582963.28046000004</v>
      </c>
    </row>
    <row r="37" spans="1:7" x14ac:dyDescent="0.3">
      <c r="A37" s="1">
        <v>41274</v>
      </c>
      <c r="B37">
        <v>115.80124076259418</v>
      </c>
      <c r="C37">
        <v>121.47725887513391</v>
      </c>
      <c r="D37">
        <v>135.23083984410121</v>
      </c>
      <c r="E37">
        <f t="shared" si="1"/>
        <v>120.93080438944533</v>
      </c>
      <c r="G37" s="4">
        <v>584095.27422000002</v>
      </c>
    </row>
    <row r="38" spans="1:7" x14ac:dyDescent="0.3">
      <c r="A38" s="1">
        <v>41364</v>
      </c>
      <c r="B38">
        <v>115.70080352111253</v>
      </c>
      <c r="C38">
        <v>115.71359246715731</v>
      </c>
      <c r="D38">
        <v>118.31832430026105</v>
      </c>
      <c r="E38">
        <f t="shared" si="1"/>
        <v>115.71236122174142</v>
      </c>
      <c r="G38" s="3">
        <v>558890.21577000001</v>
      </c>
    </row>
    <row r="39" spans="1:7" x14ac:dyDescent="0.3">
      <c r="A39" s="1">
        <v>41455</v>
      </c>
      <c r="B39">
        <v>117.86609629705609</v>
      </c>
      <c r="C39">
        <v>136.57483679261253</v>
      </c>
      <c r="D39">
        <v>133.76143830805037</v>
      </c>
      <c r="E39">
        <f t="shared" si="1"/>
        <v>134.77366650986551</v>
      </c>
      <c r="G39" s="4">
        <v>650956.23976999999</v>
      </c>
    </row>
    <row r="40" spans="1:7" x14ac:dyDescent="0.3">
      <c r="A40" s="1">
        <v>41547</v>
      </c>
      <c r="B40">
        <v>118.42550951913329</v>
      </c>
      <c r="C40">
        <v>123.69991060525005</v>
      </c>
      <c r="D40">
        <v>136.48234234626372</v>
      </c>
      <c r="E40">
        <f t="shared" si="1"/>
        <v>123.19212150434579</v>
      </c>
      <c r="G40" s="3">
        <v>595017.42633000005</v>
      </c>
    </row>
    <row r="41" spans="1:7" x14ac:dyDescent="0.3">
      <c r="A41" s="1">
        <v>41639</v>
      </c>
      <c r="B41">
        <v>118.64081820372398</v>
      </c>
      <c r="C41">
        <v>121.86732293949196</v>
      </c>
      <c r="D41">
        <v>136.54752476846022</v>
      </c>
      <c r="E41">
        <f t="shared" si="1"/>
        <v>121.5566935581062</v>
      </c>
      <c r="G41" s="4">
        <v>587118.31625999999</v>
      </c>
    </row>
    <row r="42" spans="1:7" x14ac:dyDescent="0.3">
      <c r="A42" s="1">
        <v>41729</v>
      </c>
      <c r="B42">
        <v>118.64112135128376</v>
      </c>
      <c r="C42">
        <v>114.40371456367204</v>
      </c>
      <c r="D42">
        <v>116.51445919357018</v>
      </c>
      <c r="E42">
        <f t="shared" si="1"/>
        <v>114.81166779611203</v>
      </c>
      <c r="G42" s="3">
        <v>554539.87032999995</v>
      </c>
    </row>
    <row r="43" spans="1:7" x14ac:dyDescent="0.3">
      <c r="A43" s="1">
        <v>41820</v>
      </c>
      <c r="B43">
        <v>121.19102766938828</v>
      </c>
      <c r="C43">
        <v>134.19128986894145</v>
      </c>
      <c r="D43">
        <v>126.67835880919525</v>
      </c>
      <c r="E43">
        <f t="shared" si="1"/>
        <v>132.93969915184366</v>
      </c>
      <c r="G43" s="4">
        <v>642098.18518000003</v>
      </c>
    </row>
    <row r="44" spans="1:7" x14ac:dyDescent="0.3">
      <c r="A44" s="1">
        <v>41912</v>
      </c>
      <c r="B44">
        <v>121.8003251910426</v>
      </c>
      <c r="C44">
        <v>119.08820304620582</v>
      </c>
      <c r="D44">
        <v>127.01853657504481</v>
      </c>
      <c r="E44">
        <f t="shared" si="1"/>
        <v>119.34931061875302</v>
      </c>
      <c r="G44" s="3">
        <v>576456.66599000001</v>
      </c>
    </row>
    <row r="45" spans="1:7" x14ac:dyDescent="0.3">
      <c r="A45" s="1">
        <v>42004</v>
      </c>
      <c r="B45">
        <v>122.38311966948456</v>
      </c>
      <c r="C45">
        <v>118.77822876613</v>
      </c>
      <c r="D45">
        <v>128.35898586274837</v>
      </c>
      <c r="E45">
        <f t="shared" si="1"/>
        <v>119.12528699627075</v>
      </c>
      <c r="G45" s="4">
        <v>575374.63283999998</v>
      </c>
    </row>
    <row r="46" spans="1:7" x14ac:dyDescent="0.3">
      <c r="A46" s="1">
        <v>42094</v>
      </c>
      <c r="B46">
        <v>122.24898971129284</v>
      </c>
      <c r="C46">
        <v>114.87928055097476</v>
      </c>
      <c r="D46">
        <v>113.61800132525812</v>
      </c>
      <c r="E46">
        <f t="shared" si="1"/>
        <v>115.58879390039125</v>
      </c>
      <c r="G46" s="3">
        <v>558293.38613</v>
      </c>
    </row>
    <row r="47" spans="1:7" x14ac:dyDescent="0.3">
      <c r="A47" s="1">
        <v>42185</v>
      </c>
      <c r="B47">
        <v>125.50847376172871</v>
      </c>
      <c r="C47">
        <v>139.91096587052448</v>
      </c>
      <c r="D47">
        <v>129.02423403363679</v>
      </c>
      <c r="E47">
        <f t="shared" si="1"/>
        <v>138.52437649501047</v>
      </c>
      <c r="G47" s="4">
        <v>669072.15315000003</v>
      </c>
    </row>
    <row r="48" spans="1:7" x14ac:dyDescent="0.3">
      <c r="A48" s="1">
        <v>42277</v>
      </c>
      <c r="B48">
        <v>126.5292575843882</v>
      </c>
      <c r="C48">
        <v>123.33209069522597</v>
      </c>
      <c r="D48">
        <v>130.80067221055748</v>
      </c>
      <c r="E48">
        <f t="shared" si="1"/>
        <v>123.6398955958623</v>
      </c>
      <c r="G48" s="3">
        <v>597180.17330000002</v>
      </c>
    </row>
    <row r="49" spans="1:7" x14ac:dyDescent="0.3">
      <c r="A49" s="1">
        <v>42369</v>
      </c>
      <c r="B49">
        <v>127.07895305228082</v>
      </c>
      <c r="C49">
        <v>120.99060396335905</v>
      </c>
      <c r="D49">
        <v>128.94614425709599</v>
      </c>
      <c r="E49">
        <f t="shared" si="1"/>
        <v>121.57675531064636</v>
      </c>
      <c r="G49" s="4">
        <v>587215.21444000001</v>
      </c>
    </row>
    <row r="50" spans="1:7" x14ac:dyDescent="0.3">
      <c r="A50" s="1">
        <v>42460</v>
      </c>
      <c r="B50">
        <v>126.76019478436935</v>
      </c>
      <c r="C50">
        <v>114.53891995421284</v>
      </c>
      <c r="D50">
        <v>110.14058336531491</v>
      </c>
      <c r="E50">
        <f t="shared" si="1"/>
        <v>115.71551423071094</v>
      </c>
      <c r="G50" s="3">
        <v>558905.44478999998</v>
      </c>
    </row>
    <row r="51" spans="1:7" x14ac:dyDescent="0.3">
      <c r="A51" s="1">
        <v>42551</v>
      </c>
      <c r="B51">
        <v>129.03557117203769</v>
      </c>
      <c r="C51">
        <v>133.48282163062413</v>
      </c>
      <c r="D51">
        <v>118.96228269019085</v>
      </c>
      <c r="E51">
        <f t="shared" si="1"/>
        <v>133.05466584869257</v>
      </c>
      <c r="G51" s="4">
        <v>642653.47383999999</v>
      </c>
    </row>
    <row r="52" spans="1:7" x14ac:dyDescent="0.3">
      <c r="A52" s="1">
        <v>42643</v>
      </c>
      <c r="B52">
        <v>128.94818348581649</v>
      </c>
      <c r="C52">
        <v>118.73825718575186</v>
      </c>
      <c r="D52">
        <v>121.37703354538172</v>
      </c>
      <c r="E52">
        <f t="shared" si="1"/>
        <v>119.72121035817851</v>
      </c>
      <c r="G52" s="3">
        <v>578252.94016</v>
      </c>
    </row>
    <row r="53" spans="1:7" x14ac:dyDescent="0.3">
      <c r="A53" s="1">
        <v>42735</v>
      </c>
      <c r="B53">
        <v>128.86448673670202</v>
      </c>
      <c r="C53">
        <v>118.84509412767783</v>
      </c>
      <c r="D53">
        <v>123.76963966816955</v>
      </c>
      <c r="E53">
        <f t="shared" si="1"/>
        <v>119.80970380826552</v>
      </c>
      <c r="G53" s="4">
        <v>578680.36314999999</v>
      </c>
    </row>
    <row r="54" spans="1:7" x14ac:dyDescent="0.3">
      <c r="A54" s="1">
        <v>42825</v>
      </c>
      <c r="B54">
        <v>127.9143768624016</v>
      </c>
      <c r="C54">
        <v>115.1674764764585</v>
      </c>
      <c r="D54">
        <v>107.56846483262647</v>
      </c>
      <c r="E54">
        <f t="shared" si="1"/>
        <v>116.39467496978462</v>
      </c>
      <c r="G54" s="3">
        <v>562185.78829000005</v>
      </c>
    </row>
    <row r="55" spans="1:7" x14ac:dyDescent="0.3">
      <c r="A55" s="1">
        <v>42916</v>
      </c>
      <c r="B55">
        <v>130.44914909821674</v>
      </c>
      <c r="C55">
        <v>136.6603025628817</v>
      </c>
      <c r="D55">
        <v>122.25838069564499</v>
      </c>
      <c r="E55">
        <f t="shared" si="1"/>
        <v>136.06232831216604</v>
      </c>
      <c r="G55" s="4">
        <v>657180.47083000001</v>
      </c>
    </row>
    <row r="56" spans="1:7" x14ac:dyDescent="0.3">
      <c r="A56" s="1">
        <v>43008</v>
      </c>
      <c r="B56">
        <v>130.31419643288703</v>
      </c>
      <c r="C56">
        <v>123.07158317516338</v>
      </c>
      <c r="D56">
        <v>127.33867117110813</v>
      </c>
      <c r="E56">
        <f t="shared" si="1"/>
        <v>123.76886046023665</v>
      </c>
      <c r="G56" s="3">
        <v>597803.07305000001</v>
      </c>
    </row>
    <row r="57" spans="1:7" x14ac:dyDescent="0.3">
      <c r="A57" s="1">
        <v>43100</v>
      </c>
      <c r="B57">
        <v>130.30268569839453</v>
      </c>
      <c r="C57">
        <v>124.02955250229076</v>
      </c>
      <c r="D57">
        <v>129.29153992799615</v>
      </c>
      <c r="E57">
        <f t="shared" si="1"/>
        <v>124.63349380463036</v>
      </c>
      <c r="G57" s="4">
        <v>601979.24844999996</v>
      </c>
    </row>
    <row r="58" spans="1:7" x14ac:dyDescent="0.3">
      <c r="A58" s="1">
        <v>43190</v>
      </c>
      <c r="B58">
        <v>129.82526248269119</v>
      </c>
      <c r="C58">
        <v>119.34370202454572</v>
      </c>
      <c r="D58">
        <v>111.46772507599569</v>
      </c>
      <c r="E58">
        <f t="shared" si="1"/>
        <v>120.35280657531031</v>
      </c>
      <c r="G58" s="3">
        <v>581303.54721999995</v>
      </c>
    </row>
    <row r="59" spans="1:7" x14ac:dyDescent="0.3">
      <c r="A59" s="1">
        <v>43281</v>
      </c>
      <c r="B59">
        <v>131.71879931809326</v>
      </c>
      <c r="C59">
        <v>129.61160986009503</v>
      </c>
      <c r="D59">
        <v>119.92730502703395</v>
      </c>
      <c r="E59">
        <f t="shared" si="1"/>
        <v>129.8144779809721</v>
      </c>
      <c r="G59" s="4">
        <v>627003.38012999995</v>
      </c>
    </row>
    <row r="60" spans="1:7" x14ac:dyDescent="0.3">
      <c r="A60" s="1">
        <v>43373</v>
      </c>
      <c r="B60">
        <v>130.96231194235125</v>
      </c>
      <c r="C60">
        <v>118.83223123964765</v>
      </c>
      <c r="D60">
        <v>117.85833147559721</v>
      </c>
      <c r="E60">
        <f t="shared" si="1"/>
        <v>120.00004586919127</v>
      </c>
      <c r="G60" s="3">
        <v>579599.7145</v>
      </c>
    </row>
    <row r="61" spans="1:7" x14ac:dyDescent="0.3">
      <c r="A61" s="1">
        <v>43465</v>
      </c>
      <c r="B61">
        <v>130.81540720768911</v>
      </c>
      <c r="C61">
        <v>115.78359059601335</v>
      </c>
      <c r="D61">
        <v>113.82981005589062</v>
      </c>
      <c r="E61">
        <f t="shared" si="1"/>
        <v>117.23076772399297</v>
      </c>
      <c r="G61" s="4">
        <v>566224.11276000005</v>
      </c>
    </row>
    <row r="62" spans="1:7" x14ac:dyDescent="0.3">
      <c r="A62" s="1">
        <v>43555</v>
      </c>
      <c r="B62">
        <v>129.95158184220756</v>
      </c>
      <c r="C62">
        <v>112.40786372735165</v>
      </c>
      <c r="D62">
        <v>99.361508626790936</v>
      </c>
      <c r="E62">
        <f t="shared" si="1"/>
        <v>114.09687233228247</v>
      </c>
      <c r="G62" s="3">
        <v>551087.41125999996</v>
      </c>
    </row>
    <row r="63" spans="1:7" x14ac:dyDescent="0.3">
      <c r="A63" s="1">
        <v>43646</v>
      </c>
      <c r="B63">
        <v>132.41200834179912</v>
      </c>
      <c r="C63">
        <v>131.70053520524993</v>
      </c>
      <c r="D63">
        <v>111.03192006962213</v>
      </c>
      <c r="E63">
        <f t="shared" si="1"/>
        <v>131.76903175711527</v>
      </c>
      <c r="G63" s="4">
        <v>636443.86661000003</v>
      </c>
    </row>
    <row r="64" spans="1:7" x14ac:dyDescent="0.3">
      <c r="A64" s="1">
        <v>43738</v>
      </c>
      <c r="B64">
        <v>132.2215720237289</v>
      </c>
      <c r="C64">
        <v>116.30675057630222</v>
      </c>
      <c r="D64">
        <v>112.56183315898747</v>
      </c>
      <c r="E64">
        <f t="shared" si="1"/>
        <v>117.83893834920293</v>
      </c>
      <c r="G64" s="3">
        <v>569161.57431000005</v>
      </c>
    </row>
    <row r="65" spans="1:7" x14ac:dyDescent="0.3">
      <c r="A65" s="1">
        <v>43830</v>
      </c>
      <c r="B65">
        <v>132.22326698644946</v>
      </c>
      <c r="C65">
        <v>114.08874760944634</v>
      </c>
      <c r="D65">
        <v>111.61796067807536</v>
      </c>
      <c r="E65">
        <f t="shared" si="1"/>
        <v>115.83463517135972</v>
      </c>
      <c r="G65" s="4">
        <v>559480.79842999997</v>
      </c>
    </row>
    <row r="66" spans="1:7" x14ac:dyDescent="0.3">
      <c r="A66" s="1">
        <v>43921</v>
      </c>
      <c r="B66">
        <v>130.10510149792364</v>
      </c>
      <c r="C66">
        <v>106.27171937410922</v>
      </c>
      <c r="D66">
        <v>93.030269094511823</v>
      </c>
      <c r="E66">
        <f t="shared" ref="E66:E87" si="2">+(G66/$G$22)*$H$22</f>
        <v>108.56626077347376</v>
      </c>
      <c r="G66" s="3">
        <v>524374.5808</v>
      </c>
    </row>
    <row r="67" spans="1:7" x14ac:dyDescent="0.3">
      <c r="A67" s="1">
        <v>44012</v>
      </c>
      <c r="B67">
        <v>116.26618557095495</v>
      </c>
      <c r="C67">
        <v>105.32437444809048</v>
      </c>
      <c r="D67">
        <v>87.363747700525579</v>
      </c>
      <c r="E67">
        <f t="shared" si="2"/>
        <v>106.37778929579935</v>
      </c>
      <c r="G67" s="4">
        <v>513804.27280999999</v>
      </c>
    </row>
    <row r="68" spans="1:7" x14ac:dyDescent="0.3">
      <c r="A68" s="1">
        <v>44104</v>
      </c>
      <c r="B68">
        <v>121.21399521913052</v>
      </c>
      <c r="C68">
        <v>104.26285691820112</v>
      </c>
      <c r="D68">
        <v>106.93131281516422</v>
      </c>
      <c r="E68">
        <f t="shared" si="2"/>
        <v>105.89481533497987</v>
      </c>
      <c r="G68" s="3">
        <v>511471.51062000002</v>
      </c>
    </row>
    <row r="69" spans="1:7" x14ac:dyDescent="0.3">
      <c r="A69" s="1">
        <v>44196</v>
      </c>
      <c r="B69">
        <v>123.76552465786786</v>
      </c>
      <c r="C69">
        <v>109.86667892191097</v>
      </c>
      <c r="D69">
        <v>113.80117064642737</v>
      </c>
      <c r="E69">
        <f t="shared" si="2"/>
        <v>111.20478011069936</v>
      </c>
      <c r="G69" s="4">
        <v>537118.61805000005</v>
      </c>
    </row>
    <row r="70" spans="1:7" x14ac:dyDescent="0.3">
      <c r="A70" s="1">
        <v>44286</v>
      </c>
      <c r="B70">
        <v>126.0478802270466</v>
      </c>
      <c r="C70">
        <v>110.35217826954016</v>
      </c>
      <c r="D70">
        <v>104.16110121261377</v>
      </c>
      <c r="E70">
        <f t="shared" si="2"/>
        <v>111.86327047351203</v>
      </c>
      <c r="G70" s="3">
        <v>540299.12372000003</v>
      </c>
    </row>
    <row r="71" spans="1:7" x14ac:dyDescent="0.3">
      <c r="A71" s="1">
        <v>44377</v>
      </c>
      <c r="B71">
        <v>127.539629736103</v>
      </c>
      <c r="C71">
        <v>126.60426220838308</v>
      </c>
      <c r="D71">
        <v>116.20297629582433</v>
      </c>
      <c r="E71">
        <f t="shared" si="2"/>
        <v>126.69431402984563</v>
      </c>
      <c r="G71" s="4">
        <v>611933.00142999995</v>
      </c>
    </row>
    <row r="72" spans="1:7" x14ac:dyDescent="0.3">
      <c r="A72" s="1">
        <v>44469</v>
      </c>
      <c r="B72">
        <v>129.67680253334834</v>
      </c>
      <c r="C72">
        <v>116.94894672694119</v>
      </c>
      <c r="D72">
        <v>120.44516333299917</v>
      </c>
      <c r="E72">
        <f t="shared" si="2"/>
        <v>118.17431171712975</v>
      </c>
      <c r="G72" s="3">
        <v>570781.42625999998</v>
      </c>
    </row>
    <row r="73" spans="1:7" x14ac:dyDescent="0.3">
      <c r="A73" s="1">
        <v>44561</v>
      </c>
      <c r="B73">
        <v>134.22700466689986</v>
      </c>
      <c r="C73">
        <v>119.0353199140369</v>
      </c>
      <c r="D73">
        <v>123.57445394057829</v>
      </c>
      <c r="E73">
        <f t="shared" si="2"/>
        <v>120.49788823018154</v>
      </c>
      <c r="G73" s="4">
        <v>582004.29099999997</v>
      </c>
    </row>
    <row r="74" spans="1:7" x14ac:dyDescent="0.3">
      <c r="A74" s="1">
        <v>44651</v>
      </c>
      <c r="B74">
        <v>134.68474876324146</v>
      </c>
      <c r="C74">
        <v>117.394168563615</v>
      </c>
      <c r="D74">
        <v>108.81284545670198</v>
      </c>
      <c r="E74">
        <f t="shared" si="2"/>
        <v>119.058806501259</v>
      </c>
      <c r="G74" s="3">
        <v>575053.53232999996</v>
      </c>
    </row>
    <row r="75" spans="1:7" x14ac:dyDescent="0.3">
      <c r="A75" s="1">
        <v>44742</v>
      </c>
      <c r="B75">
        <v>136.74594726583123</v>
      </c>
      <c r="C75">
        <v>135.25759622235097</v>
      </c>
      <c r="D75">
        <v>124.62633352256769</v>
      </c>
      <c r="E75">
        <f t="shared" si="2"/>
        <v>135.4008861268953</v>
      </c>
      <c r="G75" s="4">
        <v>653985.70787000004</v>
      </c>
    </row>
    <row r="76" spans="1:7" x14ac:dyDescent="0.3">
      <c r="A76" s="1">
        <v>44834</v>
      </c>
      <c r="B76">
        <v>136.72621208617119</v>
      </c>
      <c r="C76">
        <v>123.46867188386858</v>
      </c>
      <c r="D76">
        <v>127.81861676326159</v>
      </c>
      <c r="E76">
        <f t="shared" si="2"/>
        <v>124.74503185044669</v>
      </c>
      <c r="G76" s="3">
        <v>602517.97673999995</v>
      </c>
    </row>
    <row r="77" spans="1:7" x14ac:dyDescent="0.3">
      <c r="A77" s="1">
        <v>44926</v>
      </c>
      <c r="B77">
        <v>136.48472489936427</v>
      </c>
      <c r="C77">
        <v>120.10129474736215</v>
      </c>
      <c r="D77">
        <v>125.0799875379287</v>
      </c>
      <c r="E77">
        <f t="shared" si="2"/>
        <v>121.67859747841527</v>
      </c>
      <c r="G77" s="4">
        <v>587707.11167999997</v>
      </c>
    </row>
    <row r="78" spans="1:7" x14ac:dyDescent="0.3">
      <c r="A78" s="1">
        <v>45016</v>
      </c>
      <c r="B78">
        <v>137.3319017797991</v>
      </c>
      <c r="C78">
        <v>118.95600692294272</v>
      </c>
      <c r="D78">
        <v>112.06452312658972</v>
      </c>
      <c r="E78">
        <f t="shared" si="2"/>
        <v>120.72513273539873</v>
      </c>
      <c r="G78" s="3">
        <v>583101.88100000005</v>
      </c>
    </row>
    <row r="79" spans="1:7" x14ac:dyDescent="0.3">
      <c r="A79" s="1">
        <v>45107</v>
      </c>
      <c r="B79">
        <v>139.75302850533041</v>
      </c>
      <c r="C79">
        <v>126.10450276685961</v>
      </c>
      <c r="D79">
        <v>122.66551141908735</v>
      </c>
      <c r="E79">
        <f t="shared" si="2"/>
        <v>127.41850458056921</v>
      </c>
      <c r="G79" s="4">
        <v>615430.83872999996</v>
      </c>
    </row>
    <row r="80" spans="1:7" x14ac:dyDescent="0.3">
      <c r="A80" s="1">
        <v>45199</v>
      </c>
      <c r="B80">
        <v>139.81802225396248</v>
      </c>
      <c r="C80">
        <v>122.99896568581219</v>
      </c>
      <c r="D80">
        <v>124.13335871946936</v>
      </c>
      <c r="E80">
        <f t="shared" si="2"/>
        <v>124.61820803142362</v>
      </c>
      <c r="G80" s="3">
        <v>601905.41822999995</v>
      </c>
    </row>
    <row r="81" spans="1:7" x14ac:dyDescent="0.3">
      <c r="A81" s="1">
        <v>45291</v>
      </c>
      <c r="B81">
        <v>139.74848988987603</v>
      </c>
      <c r="C81">
        <v>118.46587062118981</v>
      </c>
      <c r="D81">
        <v>117.5709557800741</v>
      </c>
      <c r="E81">
        <f t="shared" si="2"/>
        <v>120.51483919532122</v>
      </c>
      <c r="G81" s="4">
        <v>582086.16408999998</v>
      </c>
    </row>
    <row r="82" spans="1:7" x14ac:dyDescent="0.3">
      <c r="A82" s="1">
        <v>45382</v>
      </c>
      <c r="B82">
        <v>138.80919541086956</v>
      </c>
      <c r="C82">
        <v>112.45568777930282</v>
      </c>
      <c r="D82">
        <v>96.574319029749731</v>
      </c>
      <c r="E82">
        <f t="shared" si="2"/>
        <v>114.99285241424401</v>
      </c>
      <c r="G82" s="3">
        <v>555414.99127</v>
      </c>
    </row>
    <row r="83" spans="1:7" x14ac:dyDescent="0.3">
      <c r="A83" s="1">
        <v>45473</v>
      </c>
      <c r="B83">
        <v>139.54516652764332</v>
      </c>
      <c r="C83">
        <v>125.27647626526361</v>
      </c>
      <c r="D83">
        <v>102.11339081075816</v>
      </c>
      <c r="E83">
        <f t="shared" si="2"/>
        <v>126.6501839643245</v>
      </c>
      <c r="G83" s="4">
        <v>611719.85340000002</v>
      </c>
    </row>
    <row r="84" spans="1:7" x14ac:dyDescent="0.3">
      <c r="A84" s="1">
        <v>45565</v>
      </c>
      <c r="B84">
        <v>138.8800908484474</v>
      </c>
      <c r="C84">
        <v>120.27562292728922</v>
      </c>
      <c r="D84">
        <v>116.69017657201182</v>
      </c>
      <c r="E84">
        <f t="shared" si="2"/>
        <v>122.06675444117269</v>
      </c>
      <c r="G84" s="3">
        <v>589581.90816999995</v>
      </c>
    </row>
    <row r="85" spans="1:7" x14ac:dyDescent="0.3">
      <c r="A85" s="1">
        <v>45657</v>
      </c>
      <c r="B85">
        <v>138.29333225547023</v>
      </c>
      <c r="C85">
        <v>120.92497078059463</v>
      </c>
      <c r="D85">
        <v>119.06280757740775</v>
      </c>
      <c r="E85">
        <f t="shared" si="2"/>
        <v>122.59709705419748</v>
      </c>
      <c r="G85" s="4">
        <v>592143.46074999997</v>
      </c>
    </row>
    <row r="86" spans="1:7" x14ac:dyDescent="0.3">
      <c r="A86" s="1">
        <v>45747</v>
      </c>
      <c r="B86">
        <v>137.95703764371899</v>
      </c>
      <c r="C86">
        <v>118.62672196965107</v>
      </c>
      <c r="D86">
        <v>101.56733242281703</v>
      </c>
      <c r="E86">
        <f t="shared" si="2"/>
        <v>120.48773394593601</v>
      </c>
      <c r="G86" s="3">
        <v>581955.24584999995</v>
      </c>
    </row>
    <row r="87" spans="1:7" x14ac:dyDescent="0.3">
      <c r="A87" s="1">
        <v>45838</v>
      </c>
      <c r="B87">
        <v>139.68654600419814</v>
      </c>
      <c r="C87">
        <v>133.28146394417627</v>
      </c>
      <c r="D87">
        <v>109.11110604596215</v>
      </c>
      <c r="E87">
        <f t="shared" si="2"/>
        <v>133.89810852651507</v>
      </c>
      <c r="G87" s="4">
        <v>646727.29841000005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E11E-5A40-4204-8412-123A56463F90}">
  <dimension ref="A1:B55"/>
  <sheetViews>
    <sheetView tabSelected="1" zoomScale="57" workbookViewId="0">
      <selection activeCell="A55" sqref="A55"/>
    </sheetView>
  </sheetViews>
  <sheetFormatPr baseColWidth="10" defaultColWidth="11.44140625" defaultRowHeight="14.4" x14ac:dyDescent="0.3"/>
  <cols>
    <col min="1" max="1" width="11.109375" bestFit="1" customWidth="1"/>
    <col min="2" max="2" width="24.6640625" bestFit="1" customWidth="1"/>
  </cols>
  <sheetData>
    <row r="1" spans="1:2" x14ac:dyDescent="0.3">
      <c r="A1" t="s">
        <v>0</v>
      </c>
      <c r="B1" t="s">
        <v>5</v>
      </c>
    </row>
    <row r="2" spans="1:2" x14ac:dyDescent="0.3">
      <c r="A2" s="12">
        <v>40999</v>
      </c>
      <c r="B2">
        <v>100</v>
      </c>
    </row>
    <row r="3" spans="1:2" x14ac:dyDescent="0.3">
      <c r="A3" s="13">
        <v>41090</v>
      </c>
      <c r="B3">
        <v>100.07700823295222</v>
      </c>
    </row>
    <row r="4" spans="1:2" x14ac:dyDescent="0.3">
      <c r="A4" s="12">
        <v>41182</v>
      </c>
      <c r="B4">
        <v>101.37393454977497</v>
      </c>
    </row>
    <row r="5" spans="1:2" x14ac:dyDescent="0.3">
      <c r="A5" s="13">
        <v>41274</v>
      </c>
      <c r="B5">
        <v>101.80088039241994</v>
      </c>
    </row>
    <row r="6" spans="1:2" x14ac:dyDescent="0.3">
      <c r="A6" s="12">
        <v>41364</v>
      </c>
      <c r="B6">
        <v>99.856838765954421</v>
      </c>
    </row>
    <row r="7" spans="1:2" x14ac:dyDescent="0.3">
      <c r="A7" s="13">
        <v>41455</v>
      </c>
      <c r="B7">
        <v>100.93211631792872</v>
      </c>
    </row>
    <row r="8" spans="1:2" x14ac:dyDescent="0.3">
      <c r="A8" s="12">
        <v>41547</v>
      </c>
      <c r="B8">
        <v>101.52390338879374</v>
      </c>
    </row>
    <row r="9" spans="1:2" x14ac:dyDescent="0.3">
      <c r="A9" s="13">
        <v>41639</v>
      </c>
      <c r="B9">
        <v>98.833841071086695</v>
      </c>
    </row>
    <row r="10" spans="1:2" x14ac:dyDescent="0.3">
      <c r="A10" s="12">
        <v>41729</v>
      </c>
      <c r="B10">
        <v>91.684520623691498</v>
      </c>
    </row>
    <row r="11" spans="1:2" x14ac:dyDescent="0.3">
      <c r="A11" s="13">
        <v>41820</v>
      </c>
      <c r="B11">
        <v>92.921938958489548</v>
      </c>
    </row>
    <row r="12" spans="1:2" x14ac:dyDescent="0.3">
      <c r="A12" s="12">
        <v>41912</v>
      </c>
      <c r="B12">
        <v>94.56388423897485</v>
      </c>
    </row>
    <row r="13" spans="1:2" x14ac:dyDescent="0.3">
      <c r="A13" s="13">
        <v>42004</v>
      </c>
      <c r="B13">
        <v>93.874896275025606</v>
      </c>
    </row>
    <row r="14" spans="1:2" x14ac:dyDescent="0.3">
      <c r="A14" s="12">
        <v>42094</v>
      </c>
      <c r="B14">
        <v>93.726644503692796</v>
      </c>
    </row>
    <row r="15" spans="1:2" x14ac:dyDescent="0.3">
      <c r="A15" s="13">
        <v>42185</v>
      </c>
      <c r="B15">
        <v>95.1326525709203</v>
      </c>
    </row>
    <row r="16" spans="1:2" x14ac:dyDescent="0.3">
      <c r="A16" s="12">
        <v>42277</v>
      </c>
      <c r="B16">
        <v>98.576043163858955</v>
      </c>
    </row>
    <row r="17" spans="1:2" x14ac:dyDescent="0.3">
      <c r="A17" s="13">
        <v>42369</v>
      </c>
      <c r="B17">
        <v>96.285195282731962</v>
      </c>
    </row>
    <row r="18" spans="1:2" x14ac:dyDescent="0.3">
      <c r="A18" s="12">
        <v>42460</v>
      </c>
      <c r="B18">
        <v>89.928497026535339</v>
      </c>
    </row>
    <row r="19" spans="1:2" x14ac:dyDescent="0.3">
      <c r="A19" s="13">
        <v>42551</v>
      </c>
      <c r="B19">
        <v>89.945479824164863</v>
      </c>
    </row>
    <row r="20" spans="1:2" x14ac:dyDescent="0.3">
      <c r="A20" s="12">
        <v>42643</v>
      </c>
      <c r="B20">
        <v>92.933760781487678</v>
      </c>
    </row>
    <row r="21" spans="1:2" x14ac:dyDescent="0.3">
      <c r="A21" s="13">
        <v>42735</v>
      </c>
      <c r="B21">
        <v>93.960636306097484</v>
      </c>
    </row>
    <row r="22" spans="1:2" x14ac:dyDescent="0.3">
      <c r="A22" s="12">
        <v>42825</v>
      </c>
      <c r="B22">
        <v>93.967935664595416</v>
      </c>
    </row>
    <row r="23" spans="1:2" x14ac:dyDescent="0.3">
      <c r="A23" s="13">
        <v>42916</v>
      </c>
      <c r="B23">
        <v>95.121791469647604</v>
      </c>
    </row>
    <row r="24" spans="1:2" x14ac:dyDescent="0.3">
      <c r="A24" s="12">
        <v>43008</v>
      </c>
      <c r="B24">
        <v>98.078960975996878</v>
      </c>
    </row>
    <row r="25" spans="1:2" x14ac:dyDescent="0.3">
      <c r="A25" s="13">
        <v>43100</v>
      </c>
      <c r="B25">
        <v>97.533532434511045</v>
      </c>
    </row>
    <row r="26" spans="1:2" x14ac:dyDescent="0.3">
      <c r="A26" s="12">
        <v>43190</v>
      </c>
      <c r="B26">
        <v>94.564399897372795</v>
      </c>
    </row>
    <row r="27" spans="1:2" x14ac:dyDescent="0.3">
      <c r="A27" s="13">
        <v>43281</v>
      </c>
      <c r="B27">
        <v>92.542237870828572</v>
      </c>
    </row>
    <row r="28" spans="1:2" x14ac:dyDescent="0.3">
      <c r="A28" s="12">
        <v>43373</v>
      </c>
      <c r="B28">
        <v>88.573931219003228</v>
      </c>
    </row>
    <row r="29" spans="1:2" x14ac:dyDescent="0.3">
      <c r="A29" s="13">
        <v>43465</v>
      </c>
      <c r="B29">
        <v>84.730555391661994</v>
      </c>
    </row>
    <row r="30" spans="1:2" x14ac:dyDescent="0.3">
      <c r="A30" s="12">
        <v>43555</v>
      </c>
      <c r="B30">
        <v>83.930975230545229</v>
      </c>
    </row>
    <row r="31" spans="1:2" x14ac:dyDescent="0.3">
      <c r="A31" s="13">
        <v>43646</v>
      </c>
      <c r="B31">
        <v>81.96450743636845</v>
      </c>
    </row>
    <row r="32" spans="1:2" x14ac:dyDescent="0.3">
      <c r="A32" s="12">
        <v>43738</v>
      </c>
      <c r="B32">
        <v>81.840364217554111</v>
      </c>
    </row>
    <row r="33" spans="1:2" x14ac:dyDescent="0.3">
      <c r="A33" s="13">
        <v>43830</v>
      </c>
      <c r="B33">
        <v>78.51578934673762</v>
      </c>
    </row>
    <row r="34" spans="1:2" x14ac:dyDescent="0.3">
      <c r="A34" s="12">
        <v>43921</v>
      </c>
      <c r="B34">
        <v>81.220019831036808</v>
      </c>
    </row>
    <row r="35" spans="1:2" x14ac:dyDescent="0.3">
      <c r="A35" s="13">
        <v>44012</v>
      </c>
      <c r="B35">
        <v>79.179881053238859</v>
      </c>
    </row>
    <row r="36" spans="1:2" x14ac:dyDescent="0.3">
      <c r="A36" s="12">
        <v>44104</v>
      </c>
      <c r="B36">
        <v>77.362645253480409</v>
      </c>
    </row>
    <row r="37" spans="1:2" x14ac:dyDescent="0.3">
      <c r="A37" s="13">
        <v>44196</v>
      </c>
      <c r="B37">
        <v>76.76115486493994</v>
      </c>
    </row>
    <row r="38" spans="1:2" x14ac:dyDescent="0.3">
      <c r="A38" s="12">
        <v>44286</v>
      </c>
      <c r="B38">
        <v>75.554871815808653</v>
      </c>
    </row>
    <row r="39" spans="1:2" x14ac:dyDescent="0.3">
      <c r="A39" s="13">
        <v>44377</v>
      </c>
      <c r="B39">
        <v>74.738007028396552</v>
      </c>
    </row>
    <row r="40" spans="1:2" x14ac:dyDescent="0.3">
      <c r="A40" s="12">
        <v>44469</v>
      </c>
      <c r="B40">
        <v>76.049880693154265</v>
      </c>
    </row>
    <row r="41" spans="1:2" x14ac:dyDescent="0.3">
      <c r="A41" s="13">
        <v>44561</v>
      </c>
      <c r="B41">
        <v>77.197320427424799</v>
      </c>
    </row>
    <row r="42" spans="1:2" x14ac:dyDescent="0.3">
      <c r="A42" s="12">
        <v>44651</v>
      </c>
      <c r="B42">
        <v>76.210194253899715</v>
      </c>
    </row>
    <row r="43" spans="1:2" x14ac:dyDescent="0.3">
      <c r="A43" s="13">
        <v>44742</v>
      </c>
      <c r="B43">
        <v>75.832226059797264</v>
      </c>
    </row>
    <row r="44" spans="1:2" x14ac:dyDescent="0.3">
      <c r="A44" s="12">
        <v>44834</v>
      </c>
      <c r="B44">
        <v>74.491355539611618</v>
      </c>
    </row>
    <row r="45" spans="1:2" x14ac:dyDescent="0.3">
      <c r="A45" s="13">
        <v>44926</v>
      </c>
      <c r="B45">
        <v>74.696274314494076</v>
      </c>
    </row>
    <row r="46" spans="1:2" x14ac:dyDescent="0.3">
      <c r="A46" s="12">
        <v>45016</v>
      </c>
      <c r="B46">
        <v>74.522092596104301</v>
      </c>
    </row>
    <row r="47" spans="1:2" x14ac:dyDescent="0.3">
      <c r="A47" s="13">
        <v>45107</v>
      </c>
      <c r="B47">
        <v>73.456129909782206</v>
      </c>
    </row>
    <row r="48" spans="1:2" x14ac:dyDescent="0.3">
      <c r="A48" s="12">
        <v>45199</v>
      </c>
      <c r="B48">
        <v>74.095870016792986</v>
      </c>
    </row>
    <row r="49" spans="1:2" x14ac:dyDescent="0.3">
      <c r="A49" s="13">
        <v>45291</v>
      </c>
      <c r="B49">
        <v>67.257398754213739</v>
      </c>
    </row>
    <row r="50" spans="1:2" x14ac:dyDescent="0.3">
      <c r="A50" s="12">
        <v>45382</v>
      </c>
      <c r="B50">
        <v>58.759107302891678</v>
      </c>
    </row>
    <row r="51" spans="1:2" x14ac:dyDescent="0.3">
      <c r="A51" s="13">
        <v>45473</v>
      </c>
      <c r="B51">
        <v>61.165143508489969</v>
      </c>
    </row>
    <row r="52" spans="1:2" x14ac:dyDescent="0.3">
      <c r="A52" s="12">
        <v>45565</v>
      </c>
      <c r="B52">
        <v>65.49914158071266</v>
      </c>
    </row>
    <row r="53" spans="1:2" x14ac:dyDescent="0.3">
      <c r="A53" s="13">
        <v>45657</v>
      </c>
      <c r="B53">
        <v>68.258943264670236</v>
      </c>
    </row>
    <row r="54" spans="1:2" x14ac:dyDescent="0.3">
      <c r="A54" s="12">
        <v>45747</v>
      </c>
      <c r="B54">
        <v>69.705154715186978</v>
      </c>
    </row>
    <row r="55" spans="1:2" x14ac:dyDescent="0.3">
      <c r="A55" s="13">
        <v>45838</v>
      </c>
      <c r="B55">
        <v>71.100177306062164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415A-019B-466C-9701-5BBCC8983232}">
  <dimension ref="A1:C81"/>
  <sheetViews>
    <sheetView workbookViewId="0">
      <selection activeCell="A27" sqref="A27:A81"/>
    </sheetView>
  </sheetViews>
  <sheetFormatPr baseColWidth="10" defaultColWidth="11.44140625" defaultRowHeight="14.4" x14ac:dyDescent="0.3"/>
  <cols>
    <col min="1" max="1" width="11.109375" bestFit="1" customWidth="1"/>
    <col min="2" max="3" width="16.33203125" bestFit="1" customWidth="1"/>
  </cols>
  <sheetData>
    <row r="1" spans="1:3" x14ac:dyDescent="0.3">
      <c r="A1" t="s">
        <v>0</v>
      </c>
      <c r="B1" t="s">
        <v>6</v>
      </c>
      <c r="C1" t="s">
        <v>7</v>
      </c>
    </row>
    <row r="2" spans="1:3" x14ac:dyDescent="0.3">
      <c r="A2" s="1">
        <v>38717</v>
      </c>
      <c r="B2">
        <v>92.956761691005639</v>
      </c>
      <c r="C2">
        <v>89.360636094377028</v>
      </c>
    </row>
    <row r="3" spans="1:3" x14ac:dyDescent="0.3">
      <c r="A3" s="1">
        <v>38807</v>
      </c>
      <c r="B3">
        <v>94.701415270902842</v>
      </c>
      <c r="C3">
        <v>87.963153425950765</v>
      </c>
    </row>
    <row r="4" spans="1:3" x14ac:dyDescent="0.3">
      <c r="A4" s="1">
        <v>38898</v>
      </c>
      <c r="B4">
        <v>97.764404811901628</v>
      </c>
      <c r="C4">
        <v>87.685878364800914</v>
      </c>
    </row>
    <row r="5" spans="1:3" x14ac:dyDescent="0.3">
      <c r="A5" s="1">
        <v>38990</v>
      </c>
      <c r="B5">
        <v>102.11356964222556</v>
      </c>
      <c r="C5">
        <v>91.083331319731926</v>
      </c>
    </row>
    <row r="6" spans="1:3" x14ac:dyDescent="0.3">
      <c r="A6" s="1">
        <v>39082</v>
      </c>
      <c r="B6">
        <v>103.8097118328199</v>
      </c>
      <c r="C6">
        <v>95.917003333755162</v>
      </c>
    </row>
    <row r="7" spans="1:3" x14ac:dyDescent="0.3">
      <c r="A7" s="1">
        <v>39172</v>
      </c>
      <c r="B7">
        <v>103.49801043359051</v>
      </c>
      <c r="C7">
        <v>95.399588732835497</v>
      </c>
    </row>
    <row r="8" spans="1:3" x14ac:dyDescent="0.3">
      <c r="A8" s="1">
        <v>39263</v>
      </c>
      <c r="B8">
        <v>102.56886891829706</v>
      </c>
      <c r="C8">
        <v>94.21705574056503</v>
      </c>
    </row>
    <row r="9" spans="1:3" x14ac:dyDescent="0.3">
      <c r="A9" s="1">
        <v>39355</v>
      </c>
      <c r="B9">
        <v>100.53908984870839</v>
      </c>
      <c r="C9">
        <v>98.519677538420822</v>
      </c>
    </row>
    <row r="10" spans="1:3" x14ac:dyDescent="0.3">
      <c r="A10" s="1">
        <v>39447</v>
      </c>
      <c r="B10">
        <v>101.50693927107015</v>
      </c>
      <c r="C10">
        <v>100.17525849444637</v>
      </c>
    </row>
    <row r="11" spans="1:3" x14ac:dyDescent="0.3">
      <c r="A11" s="1">
        <v>39538</v>
      </c>
      <c r="B11">
        <v>95.501104009080777</v>
      </c>
      <c r="C11">
        <v>98.482645977431943</v>
      </c>
    </row>
    <row r="12" spans="1:3" x14ac:dyDescent="0.3">
      <c r="A12" s="1">
        <v>39629</v>
      </c>
      <c r="B12">
        <v>94.975193015408337</v>
      </c>
      <c r="C12">
        <v>94.327394721451569</v>
      </c>
    </row>
    <row r="13" spans="1:3" x14ac:dyDescent="0.3">
      <c r="A13" s="1">
        <v>39721</v>
      </c>
      <c r="B13">
        <v>97.963401197570562</v>
      </c>
      <c r="C13">
        <v>99.578261605681845</v>
      </c>
    </row>
    <row r="14" spans="1:3" x14ac:dyDescent="0.3">
      <c r="A14" s="1">
        <v>39813</v>
      </c>
      <c r="B14">
        <v>100.22517317559409</v>
      </c>
      <c r="C14">
        <v>101.20162659970227</v>
      </c>
    </row>
    <row r="15" spans="1:3" x14ac:dyDescent="0.3">
      <c r="A15" s="1">
        <v>39903</v>
      </c>
      <c r="B15">
        <v>100</v>
      </c>
      <c r="C15">
        <v>100</v>
      </c>
    </row>
    <row r="16" spans="1:3" x14ac:dyDescent="0.3">
      <c r="A16" s="1">
        <v>39994</v>
      </c>
      <c r="B16">
        <v>99.324695115743538</v>
      </c>
      <c r="C16">
        <v>97.087729229231471</v>
      </c>
    </row>
    <row r="17" spans="1:3" x14ac:dyDescent="0.3">
      <c r="A17" s="1">
        <v>40086</v>
      </c>
      <c r="B17">
        <v>101.59325105506241</v>
      </c>
      <c r="C17">
        <v>98.613013538203447</v>
      </c>
    </row>
    <row r="18" spans="1:3" x14ac:dyDescent="0.3">
      <c r="A18" s="1">
        <v>40178</v>
      </c>
      <c r="B18">
        <v>100.88855091365782</v>
      </c>
      <c r="C18">
        <v>97.9463266106264</v>
      </c>
    </row>
    <row r="19" spans="1:3" x14ac:dyDescent="0.3">
      <c r="A19" s="1">
        <v>40268</v>
      </c>
      <c r="B19">
        <v>96.9093110566332</v>
      </c>
      <c r="C19">
        <v>91.307914455459553</v>
      </c>
    </row>
    <row r="20" spans="1:3" x14ac:dyDescent="0.3">
      <c r="A20" s="1">
        <v>40359</v>
      </c>
      <c r="B20">
        <v>97.320353163749658</v>
      </c>
      <c r="C20">
        <v>90.815722867735261</v>
      </c>
    </row>
    <row r="21" spans="1:3" x14ac:dyDescent="0.3">
      <c r="A21" s="1">
        <v>40451</v>
      </c>
      <c r="B21">
        <v>102.28463806174517</v>
      </c>
      <c r="C21">
        <v>94.63041102714736</v>
      </c>
    </row>
    <row r="22" spans="1:3" x14ac:dyDescent="0.3">
      <c r="A22" s="1">
        <v>40543</v>
      </c>
      <c r="B22">
        <v>101.63881820684122</v>
      </c>
      <c r="C22">
        <v>93.211749957020416</v>
      </c>
    </row>
    <row r="23" spans="1:3" x14ac:dyDescent="0.3">
      <c r="A23" s="1">
        <v>40633</v>
      </c>
      <c r="B23">
        <v>101.40647177784902</v>
      </c>
      <c r="C23">
        <v>89.84716573653931</v>
      </c>
    </row>
    <row r="24" spans="1:3" x14ac:dyDescent="0.3">
      <c r="A24" s="1">
        <v>40724</v>
      </c>
      <c r="B24">
        <v>102.86357482524144</v>
      </c>
      <c r="C24">
        <v>85.72625103406007</v>
      </c>
    </row>
    <row r="25" spans="1:3" x14ac:dyDescent="0.3">
      <c r="A25" s="1">
        <v>40816</v>
      </c>
      <c r="B25">
        <v>109.37068608466109</v>
      </c>
      <c r="C25">
        <v>85.098517831283544</v>
      </c>
    </row>
    <row r="26" spans="1:3" x14ac:dyDescent="0.3">
      <c r="A26" s="1">
        <v>40908</v>
      </c>
      <c r="B26">
        <v>110.6605553081321</v>
      </c>
      <c r="C26">
        <v>82.819289951203629</v>
      </c>
    </row>
    <row r="27" spans="1:3" x14ac:dyDescent="0.3">
      <c r="A27" s="1">
        <v>40999</v>
      </c>
      <c r="B27">
        <v>110.36323858638329</v>
      </c>
      <c r="C27">
        <v>79.263021771302505</v>
      </c>
    </row>
    <row r="28" spans="1:3" x14ac:dyDescent="0.3">
      <c r="A28" s="1">
        <v>41090</v>
      </c>
      <c r="B28">
        <v>110.98378719598998</v>
      </c>
      <c r="C28">
        <v>79.29605337172174</v>
      </c>
    </row>
    <row r="29" spans="1:3" x14ac:dyDescent="0.3">
      <c r="A29" s="1">
        <v>41182</v>
      </c>
      <c r="B29">
        <v>113.00407179821184</v>
      </c>
      <c r="C29">
        <v>78.824783674228144</v>
      </c>
    </row>
    <row r="30" spans="1:3" x14ac:dyDescent="0.3">
      <c r="A30" s="1">
        <v>41274</v>
      </c>
      <c r="B30">
        <v>113.14407125054589</v>
      </c>
      <c r="C30">
        <v>78.366249611999734</v>
      </c>
    </row>
    <row r="31" spans="1:3" x14ac:dyDescent="0.3">
      <c r="A31" s="1">
        <v>41364</v>
      </c>
      <c r="B31">
        <v>110.50557312580057</v>
      </c>
      <c r="C31">
        <v>76.547940989419942</v>
      </c>
    </row>
    <row r="32" spans="1:3" x14ac:dyDescent="0.3">
      <c r="A32" s="1">
        <v>41455</v>
      </c>
      <c r="B32">
        <v>111.31244411117318</v>
      </c>
      <c r="C32">
        <v>78.254969691317996</v>
      </c>
    </row>
    <row r="33" spans="1:3" x14ac:dyDescent="0.3">
      <c r="A33" s="1">
        <v>41547</v>
      </c>
      <c r="B33">
        <v>112.85121673054603</v>
      </c>
      <c r="C33">
        <v>78.463195692378164</v>
      </c>
    </row>
    <row r="34" spans="1:3" x14ac:dyDescent="0.3">
      <c r="A34" s="1">
        <v>41639</v>
      </c>
      <c r="B34">
        <v>109.18867410514301</v>
      </c>
      <c r="C34">
        <v>76.02083118977967</v>
      </c>
    </row>
    <row r="35" spans="1:3" x14ac:dyDescent="0.3">
      <c r="A35" s="1">
        <v>41729</v>
      </c>
      <c r="B35">
        <v>99.876153250981716</v>
      </c>
      <c r="C35">
        <v>71.655336969755041</v>
      </c>
    </row>
    <row r="36" spans="1:3" x14ac:dyDescent="0.3">
      <c r="A36" s="1">
        <v>41820</v>
      </c>
      <c r="B36">
        <v>100.78102073200779</v>
      </c>
      <c r="C36">
        <v>71.995514051145122</v>
      </c>
    </row>
    <row r="37" spans="1:3" x14ac:dyDescent="0.3">
      <c r="A37" s="1">
        <v>41912</v>
      </c>
      <c r="B37">
        <v>102.60374661587093</v>
      </c>
      <c r="C37">
        <v>73.820867761041669</v>
      </c>
    </row>
    <row r="38" spans="1:3" x14ac:dyDescent="0.3">
      <c r="A38" s="1">
        <v>42004</v>
      </c>
      <c r="B38">
        <v>102.19457443319241</v>
      </c>
      <c r="C38">
        <v>72.293909853283139</v>
      </c>
    </row>
    <row r="39" spans="1:3" x14ac:dyDescent="0.3">
      <c r="A39" s="1">
        <v>42094</v>
      </c>
      <c r="B39">
        <v>100.32225820330424</v>
      </c>
      <c r="C39">
        <v>73.565801175598139</v>
      </c>
    </row>
    <row r="40" spans="1:3" x14ac:dyDescent="0.3">
      <c r="A40" s="1">
        <v>42185</v>
      </c>
      <c r="B40">
        <v>101.49745066140581</v>
      </c>
      <c r="C40">
        <v>76.468188397941219</v>
      </c>
    </row>
    <row r="41" spans="1:3" x14ac:dyDescent="0.3">
      <c r="A41" s="1">
        <v>42277</v>
      </c>
      <c r="B41">
        <v>105.58305908365409</v>
      </c>
      <c r="C41">
        <v>78.289183688341623</v>
      </c>
    </row>
    <row r="42" spans="1:3" x14ac:dyDescent="0.3">
      <c r="A42" s="1">
        <v>42369</v>
      </c>
      <c r="B42">
        <v>103.4978127456031</v>
      </c>
      <c r="C42">
        <v>75.92268328425493</v>
      </c>
    </row>
    <row r="43" spans="1:3" x14ac:dyDescent="0.3">
      <c r="A43" s="1">
        <v>42460</v>
      </c>
      <c r="B43">
        <v>96.835939148939943</v>
      </c>
      <c r="C43">
        <v>70.493358102258441</v>
      </c>
    </row>
    <row r="44" spans="1:3" x14ac:dyDescent="0.3">
      <c r="A44" s="1">
        <v>42551</v>
      </c>
      <c r="B44">
        <v>97.325299272786864</v>
      </c>
      <c r="C44">
        <v>69.811649692642149</v>
      </c>
    </row>
    <row r="45" spans="1:3" x14ac:dyDescent="0.3">
      <c r="A45" s="1">
        <v>42643</v>
      </c>
      <c r="B45">
        <v>99.106496199271177</v>
      </c>
      <c r="C45">
        <v>74.208528865504618</v>
      </c>
    </row>
    <row r="46" spans="1:3" x14ac:dyDescent="0.3">
      <c r="A46" s="1">
        <v>42735</v>
      </c>
      <c r="B46">
        <v>101.28787886057076</v>
      </c>
      <c r="C46">
        <v>73.55439660165402</v>
      </c>
    </row>
    <row r="47" spans="1:3" x14ac:dyDescent="0.3">
      <c r="A47" s="1">
        <v>42825</v>
      </c>
      <c r="B47">
        <v>102.52040563389929</v>
      </c>
      <c r="C47">
        <v>72.330587067407819</v>
      </c>
    </row>
    <row r="48" spans="1:3" x14ac:dyDescent="0.3">
      <c r="A48" s="1">
        <v>42916</v>
      </c>
      <c r="B48">
        <v>102.91745599444407</v>
      </c>
      <c r="C48">
        <v>73.49694254931714</v>
      </c>
    </row>
    <row r="49" spans="1:3" x14ac:dyDescent="0.3">
      <c r="A49" s="1">
        <v>43008</v>
      </c>
      <c r="B49">
        <v>106.30178533641094</v>
      </c>
      <c r="C49">
        <v>75.509106881935978</v>
      </c>
    </row>
    <row r="50" spans="1:3" x14ac:dyDescent="0.3">
      <c r="A50" s="1">
        <v>43100</v>
      </c>
      <c r="B50">
        <v>105.26896111664499</v>
      </c>
      <c r="C50">
        <v>75.149636547827683</v>
      </c>
    </row>
    <row r="51" spans="1:3" x14ac:dyDescent="0.3">
      <c r="A51" s="1">
        <v>43190</v>
      </c>
      <c r="B51">
        <v>102.19704871091034</v>
      </c>
      <c r="C51">
        <v>72.06791657566086</v>
      </c>
    </row>
    <row r="52" spans="1:3" x14ac:dyDescent="0.3">
      <c r="A52" s="1">
        <v>43281</v>
      </c>
      <c r="B52">
        <v>101.27894431451223</v>
      </c>
      <c r="C52">
        <v>70.262384777679017</v>
      </c>
    </row>
    <row r="53" spans="1:3" x14ac:dyDescent="0.3">
      <c r="A53" s="1">
        <v>43373</v>
      </c>
      <c r="B53">
        <v>97.218083381921133</v>
      </c>
      <c r="C53">
        <v>67.881100719011926</v>
      </c>
    </row>
    <row r="54" spans="1:3" x14ac:dyDescent="0.3">
      <c r="A54" s="1">
        <v>43465</v>
      </c>
      <c r="B54">
        <v>92.285764893590894</v>
      </c>
      <c r="C54">
        <v>65.399505116423981</v>
      </c>
    </row>
    <row r="55" spans="1:3" x14ac:dyDescent="0.3">
      <c r="A55" s="1">
        <v>43555</v>
      </c>
      <c r="B55">
        <v>91.185815649013463</v>
      </c>
      <c r="C55">
        <v>64.547133310386542</v>
      </c>
    </row>
    <row r="56" spans="1:3" x14ac:dyDescent="0.3">
      <c r="A56" s="1">
        <v>43646</v>
      </c>
      <c r="B56">
        <v>90.316096653228612</v>
      </c>
      <c r="C56">
        <v>63.321551768853482</v>
      </c>
    </row>
    <row r="57" spans="1:3" x14ac:dyDescent="0.3">
      <c r="A57" s="1">
        <v>43738</v>
      </c>
      <c r="B57">
        <v>90.841969531812708</v>
      </c>
      <c r="C57">
        <v>64.025346025728652</v>
      </c>
    </row>
    <row r="58" spans="1:3" x14ac:dyDescent="0.3">
      <c r="A58" s="1">
        <v>43830</v>
      </c>
      <c r="B58">
        <v>87.562706025284911</v>
      </c>
      <c r="C58">
        <v>61.287548797543344</v>
      </c>
    </row>
    <row r="59" spans="1:3" x14ac:dyDescent="0.3">
      <c r="A59" s="1">
        <v>43921</v>
      </c>
      <c r="B59">
        <v>92.398389803643582</v>
      </c>
      <c r="C59">
        <v>61.223426269455963</v>
      </c>
    </row>
    <row r="60" spans="1:3" x14ac:dyDescent="0.3">
      <c r="A60" s="1">
        <v>44012</v>
      </c>
      <c r="B60">
        <v>89.297074806198836</v>
      </c>
      <c r="C60">
        <v>60.469561072818259</v>
      </c>
    </row>
    <row r="61" spans="1:3" x14ac:dyDescent="0.3">
      <c r="A61" s="1">
        <v>44104</v>
      </c>
      <c r="B61">
        <v>86.4496789924372</v>
      </c>
      <c r="C61">
        <v>58.554950156457252</v>
      </c>
    </row>
    <row r="62" spans="1:3" x14ac:dyDescent="0.3">
      <c r="A62" s="1">
        <v>44196</v>
      </c>
      <c r="B62">
        <v>86.24289113907686</v>
      </c>
      <c r="C62">
        <v>57.155379363065443</v>
      </c>
    </row>
    <row r="63" spans="1:3" x14ac:dyDescent="0.3">
      <c r="A63" s="1">
        <v>44286</v>
      </c>
      <c r="B63">
        <v>85.364013184611366</v>
      </c>
      <c r="C63">
        <v>56.007050568423487</v>
      </c>
    </row>
    <row r="64" spans="1:3" x14ac:dyDescent="0.3">
      <c r="A64" s="1">
        <v>44377</v>
      </c>
      <c r="B64">
        <v>85.579562258402646</v>
      </c>
      <c r="C64">
        <v>55.62642705610935</v>
      </c>
    </row>
    <row r="65" spans="1:3" x14ac:dyDescent="0.3">
      <c r="A65" s="1">
        <v>44469</v>
      </c>
      <c r="B65">
        <v>87.138628437725814</v>
      </c>
      <c r="C65">
        <v>58.353097437188971</v>
      </c>
    </row>
    <row r="66" spans="1:3" x14ac:dyDescent="0.3">
      <c r="A66" s="1">
        <v>44561</v>
      </c>
      <c r="B66">
        <v>88.00590585516747</v>
      </c>
      <c r="C66">
        <v>59.589299707381606</v>
      </c>
    </row>
    <row r="67" spans="1:3" x14ac:dyDescent="0.3">
      <c r="A67" s="1">
        <v>44651</v>
      </c>
      <c r="B67">
        <v>87.012237460498227</v>
      </c>
      <c r="C67">
        <v>58.735391766283776</v>
      </c>
    </row>
    <row r="68" spans="1:3" x14ac:dyDescent="0.3">
      <c r="A68" s="1">
        <v>44742</v>
      </c>
      <c r="B68">
        <v>86.686926150558151</v>
      </c>
      <c r="C68">
        <v>58.763508698166902</v>
      </c>
    </row>
    <row r="69" spans="1:3" x14ac:dyDescent="0.3">
      <c r="A69" s="1">
        <v>44834</v>
      </c>
      <c r="B69">
        <v>85.966843115430663</v>
      </c>
      <c r="C69">
        <v>58.026939883016404</v>
      </c>
    </row>
    <row r="70" spans="1:3" x14ac:dyDescent="0.3">
      <c r="A70" s="1">
        <v>44926</v>
      </c>
      <c r="B70">
        <v>86.39621430766762</v>
      </c>
      <c r="C70">
        <v>58.927736697041468</v>
      </c>
    </row>
    <row r="71" spans="1:3" x14ac:dyDescent="0.3">
      <c r="A71" s="1">
        <v>45016</v>
      </c>
      <c r="B71">
        <v>85.754650518563494</v>
      </c>
      <c r="C71">
        <v>59.871181558822869</v>
      </c>
    </row>
    <row r="72" spans="1:3" x14ac:dyDescent="0.3">
      <c r="A72" s="1">
        <v>45107</v>
      </c>
      <c r="B72">
        <v>84.845804675918302</v>
      </c>
      <c r="C72">
        <v>60.226206395767313</v>
      </c>
    </row>
    <row r="73" spans="1:3" x14ac:dyDescent="0.3">
      <c r="A73" s="1">
        <v>45199</v>
      </c>
      <c r="B73">
        <v>86.320917316597018</v>
      </c>
      <c r="C73">
        <v>61.564042562452279</v>
      </c>
    </row>
    <row r="74" spans="1:3" x14ac:dyDescent="0.3">
      <c r="A74" s="1">
        <v>45291</v>
      </c>
      <c r="B74">
        <v>81.163872411113573</v>
      </c>
      <c r="C74">
        <v>55.33777704404941</v>
      </c>
    </row>
    <row r="75" spans="1:3" x14ac:dyDescent="0.3">
      <c r="A75" s="1">
        <v>45382</v>
      </c>
      <c r="B75">
        <v>73.770927617562094</v>
      </c>
      <c r="C75">
        <v>45.427583549715756</v>
      </c>
    </row>
    <row r="76" spans="1:3" x14ac:dyDescent="0.3">
      <c r="A76" s="1">
        <v>45473</v>
      </c>
      <c r="B76">
        <v>77.831417985464086</v>
      </c>
      <c r="C76">
        <v>46.209574648871978</v>
      </c>
    </row>
    <row r="77" spans="1:3" x14ac:dyDescent="0.3">
      <c r="A77" s="1">
        <v>45565</v>
      </c>
      <c r="B77">
        <v>81.980308236119882</v>
      </c>
      <c r="C77">
        <v>48.030929376694147</v>
      </c>
    </row>
    <row r="78" spans="1:3" x14ac:dyDescent="0.3">
      <c r="A78" s="1">
        <v>45657</v>
      </c>
      <c r="B78">
        <v>83.860095882194841</v>
      </c>
      <c r="C78">
        <v>48.955270379839817</v>
      </c>
    </row>
    <row r="79" spans="1:3" x14ac:dyDescent="0.3">
      <c r="A79" s="1">
        <v>45747</v>
      </c>
      <c r="B79">
        <v>83.739161054365795</v>
      </c>
      <c r="C79">
        <v>48.651505134234249</v>
      </c>
    </row>
    <row r="80" spans="1:3" x14ac:dyDescent="0.3">
      <c r="A80" s="1">
        <v>45838</v>
      </c>
      <c r="B80">
        <v>82.953465233362095</v>
      </c>
      <c r="C80">
        <v>49.101107534786685</v>
      </c>
    </row>
    <row r="81" spans="1:3" x14ac:dyDescent="0.3">
      <c r="A81" s="1">
        <v>45930</v>
      </c>
      <c r="B81">
        <v>83.374066801716978</v>
      </c>
      <c r="C81">
        <v>49.602580998545534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76A8-AFF6-4D66-8293-E9AC1012137B}">
  <dimension ref="A1:B85"/>
  <sheetViews>
    <sheetView workbookViewId="0">
      <selection activeCell="E13" sqref="E13"/>
    </sheetView>
  </sheetViews>
  <sheetFormatPr baseColWidth="10" defaultColWidth="11.44140625" defaultRowHeight="14.4" x14ac:dyDescent="0.3"/>
  <cols>
    <col min="1" max="1" width="11.109375" bestFit="1" customWidth="1"/>
    <col min="2" max="2" width="19.109375" bestFit="1" customWidth="1"/>
  </cols>
  <sheetData>
    <row r="1" spans="1:2" x14ac:dyDescent="0.3">
      <c r="A1" t="s">
        <v>0</v>
      </c>
      <c r="B1" t="s">
        <v>8</v>
      </c>
    </row>
    <row r="2" spans="1:2" x14ac:dyDescent="0.3">
      <c r="A2" s="1">
        <v>38352</v>
      </c>
      <c r="B2">
        <v>98.536976867010324</v>
      </c>
    </row>
    <row r="3" spans="1:2" x14ac:dyDescent="0.3">
      <c r="A3" s="1">
        <v>38442</v>
      </c>
      <c r="B3">
        <v>85.865517009171057</v>
      </c>
    </row>
    <row r="4" spans="1:2" x14ac:dyDescent="0.3">
      <c r="A4" s="1">
        <v>38533</v>
      </c>
      <c r="B4">
        <v>99.260195478367123</v>
      </c>
    </row>
    <row r="5" spans="1:2" x14ac:dyDescent="0.3">
      <c r="A5" s="1">
        <v>38625</v>
      </c>
      <c r="B5">
        <v>92.065762732236379</v>
      </c>
    </row>
    <row r="6" spans="1:2" x14ac:dyDescent="0.3">
      <c r="A6" s="1">
        <v>38717</v>
      </c>
      <c r="B6">
        <v>108.87092031390613</v>
      </c>
    </row>
    <row r="7" spans="1:2" x14ac:dyDescent="0.3">
      <c r="A7" s="1">
        <v>38807</v>
      </c>
      <c r="B7">
        <v>94.794996185976217</v>
      </c>
    </row>
    <row r="8" spans="1:2" x14ac:dyDescent="0.3">
      <c r="A8" s="1">
        <v>38898</v>
      </c>
      <c r="B8">
        <v>106.50684453858246</v>
      </c>
    </row>
    <row r="9" spans="1:2" x14ac:dyDescent="0.3">
      <c r="A9" s="1">
        <v>38990</v>
      </c>
      <c r="B9">
        <v>92.080127180078591</v>
      </c>
    </row>
    <row r="10" spans="1:2" x14ac:dyDescent="0.3">
      <c r="A10" s="1">
        <v>39082</v>
      </c>
      <c r="B10">
        <v>109.87015621192475</v>
      </c>
    </row>
    <row r="11" spans="1:2" x14ac:dyDescent="0.3">
      <c r="A11" s="1">
        <v>39172</v>
      </c>
      <c r="B11">
        <v>93.184406199115458</v>
      </c>
    </row>
    <row r="12" spans="1:2" x14ac:dyDescent="0.3">
      <c r="A12" s="1">
        <v>39263</v>
      </c>
      <c r="B12">
        <v>107.03243535596887</v>
      </c>
    </row>
    <row r="13" spans="1:2" x14ac:dyDescent="0.3">
      <c r="A13" s="1">
        <v>39355</v>
      </c>
      <c r="B13">
        <v>97.918742351049644</v>
      </c>
    </row>
    <row r="14" spans="1:2" x14ac:dyDescent="0.3">
      <c r="A14" s="1">
        <v>39447</v>
      </c>
      <c r="B14">
        <v>118.70370851463802</v>
      </c>
    </row>
    <row r="15" spans="1:2" x14ac:dyDescent="0.3">
      <c r="A15" s="1">
        <v>39538</v>
      </c>
      <c r="B15">
        <v>100</v>
      </c>
    </row>
    <row r="16" spans="1:2" x14ac:dyDescent="0.3">
      <c r="A16" s="1">
        <v>39629</v>
      </c>
      <c r="B16">
        <v>113.84479386585717</v>
      </c>
    </row>
    <row r="17" spans="1:2" x14ac:dyDescent="0.3">
      <c r="A17" s="1">
        <v>39721</v>
      </c>
      <c r="B17">
        <v>103.1963531286323</v>
      </c>
    </row>
    <row r="18" spans="1:2" x14ac:dyDescent="0.3">
      <c r="A18" s="1">
        <v>39813</v>
      </c>
      <c r="B18">
        <v>122.77629116826077</v>
      </c>
    </row>
    <row r="19" spans="1:2" x14ac:dyDescent="0.3">
      <c r="A19" s="1">
        <v>39903</v>
      </c>
      <c r="B19">
        <v>101.81748475745694</v>
      </c>
    </row>
    <row r="20" spans="1:2" x14ac:dyDescent="0.3">
      <c r="A20" s="1">
        <v>39994</v>
      </c>
      <c r="B20">
        <v>118.5113046851298</v>
      </c>
    </row>
    <row r="21" spans="1:2" x14ac:dyDescent="0.3">
      <c r="A21" s="1">
        <v>40086</v>
      </c>
      <c r="B21">
        <v>108.01859227263148</v>
      </c>
    </row>
    <row r="22" spans="1:2" x14ac:dyDescent="0.3">
      <c r="A22" s="1">
        <v>40178</v>
      </c>
      <c r="B22">
        <v>125.66812603990955</v>
      </c>
    </row>
    <row r="23" spans="1:2" x14ac:dyDescent="0.3">
      <c r="A23" s="1">
        <v>40268</v>
      </c>
      <c r="B23">
        <v>109.03202572047238</v>
      </c>
    </row>
    <row r="24" spans="1:2" x14ac:dyDescent="0.3">
      <c r="A24" s="1">
        <v>40359</v>
      </c>
      <c r="B24">
        <v>125.21257313028083</v>
      </c>
    </row>
    <row r="25" spans="1:2" x14ac:dyDescent="0.3">
      <c r="A25" s="1">
        <v>40451</v>
      </c>
      <c r="B25">
        <v>112.47236880694996</v>
      </c>
    </row>
    <row r="26" spans="1:2" x14ac:dyDescent="0.3">
      <c r="A26" s="1">
        <v>40543</v>
      </c>
      <c r="B26">
        <v>134.38916524766185</v>
      </c>
    </row>
    <row r="27" spans="1:2" x14ac:dyDescent="0.3">
      <c r="A27" s="1">
        <v>40633</v>
      </c>
      <c r="B27">
        <v>115.74316654279262</v>
      </c>
    </row>
    <row r="28" spans="1:2" x14ac:dyDescent="0.3">
      <c r="A28" s="1">
        <v>40724</v>
      </c>
      <c r="B28">
        <v>129.64588541803045</v>
      </c>
    </row>
    <row r="29" spans="1:2" x14ac:dyDescent="0.3">
      <c r="A29" s="1">
        <v>40816</v>
      </c>
      <c r="B29">
        <v>118.22399334590557</v>
      </c>
    </row>
    <row r="30" spans="1:2" x14ac:dyDescent="0.3">
      <c r="A30" s="1">
        <v>40908</v>
      </c>
      <c r="B30">
        <v>142.22326514982785</v>
      </c>
    </row>
    <row r="31" spans="1:2" x14ac:dyDescent="0.3">
      <c r="A31" s="1">
        <v>40999</v>
      </c>
      <c r="B31">
        <v>119.5431498254315</v>
      </c>
    </row>
    <row r="32" spans="1:2" x14ac:dyDescent="0.3">
      <c r="A32" s="1">
        <v>41090</v>
      </c>
      <c r="B32">
        <v>133.51939535159894</v>
      </c>
    </row>
    <row r="33" spans="1:2" x14ac:dyDescent="0.3">
      <c r="A33" s="1">
        <v>41182</v>
      </c>
      <c r="B33">
        <v>119.71655504598596</v>
      </c>
    </row>
    <row r="34" spans="1:2" x14ac:dyDescent="0.3">
      <c r="A34" s="1">
        <v>41274</v>
      </c>
      <c r="B34">
        <v>137.61750524745341</v>
      </c>
    </row>
    <row r="35" spans="1:2" x14ac:dyDescent="0.3">
      <c r="A35" s="1">
        <v>41364</v>
      </c>
      <c r="B35">
        <v>107.47093998699472</v>
      </c>
    </row>
    <row r="36" spans="1:2" x14ac:dyDescent="0.3">
      <c r="A36" s="1">
        <v>41455</v>
      </c>
      <c r="B36">
        <v>119.60727830206142</v>
      </c>
    </row>
    <row r="37" spans="1:2" x14ac:dyDescent="0.3">
      <c r="A37" s="1">
        <v>41547</v>
      </c>
      <c r="B37">
        <v>107.69296826702734</v>
      </c>
    </row>
    <row r="38" spans="1:2" x14ac:dyDescent="0.3">
      <c r="A38" s="1">
        <v>41639</v>
      </c>
      <c r="B38">
        <v>129.20418131187969</v>
      </c>
    </row>
    <row r="39" spans="1:2" x14ac:dyDescent="0.3">
      <c r="A39" s="1">
        <v>41729</v>
      </c>
      <c r="B39">
        <v>110.88362480771656</v>
      </c>
    </row>
    <row r="40" spans="1:2" x14ac:dyDescent="0.3">
      <c r="A40" s="1">
        <v>41820</v>
      </c>
      <c r="B40">
        <v>125.41020805215962</v>
      </c>
    </row>
    <row r="41" spans="1:2" x14ac:dyDescent="0.3">
      <c r="A41" s="1">
        <v>41912</v>
      </c>
      <c r="B41">
        <v>113.22201735856706</v>
      </c>
    </row>
    <row r="42" spans="1:2" x14ac:dyDescent="0.3">
      <c r="A42" s="1">
        <v>42004</v>
      </c>
      <c r="B42">
        <v>131.50343933185272</v>
      </c>
    </row>
    <row r="43" spans="1:2" x14ac:dyDescent="0.3">
      <c r="A43" s="1">
        <v>42094</v>
      </c>
      <c r="B43">
        <v>105.4335585589963</v>
      </c>
    </row>
    <row r="44" spans="1:2" x14ac:dyDescent="0.3">
      <c r="A44" s="1">
        <v>42185</v>
      </c>
      <c r="B44">
        <v>116.84891566092215</v>
      </c>
    </row>
    <row r="45" spans="1:2" x14ac:dyDescent="0.3">
      <c r="A45" s="1">
        <v>42277</v>
      </c>
      <c r="B45">
        <v>105.59802303529149</v>
      </c>
    </row>
    <row r="46" spans="1:2" x14ac:dyDescent="0.3">
      <c r="A46" s="1">
        <v>42369</v>
      </c>
      <c r="B46">
        <v>127.9373716695471</v>
      </c>
    </row>
    <row r="47" spans="1:2" x14ac:dyDescent="0.3">
      <c r="A47" s="1">
        <v>42460</v>
      </c>
      <c r="B47">
        <v>109.17243424737264</v>
      </c>
    </row>
    <row r="48" spans="1:2" x14ac:dyDescent="0.3">
      <c r="A48" s="1">
        <v>42551</v>
      </c>
      <c r="B48">
        <v>123.68334422990097</v>
      </c>
    </row>
    <row r="49" spans="1:2" x14ac:dyDescent="0.3">
      <c r="A49" s="1">
        <v>42643</v>
      </c>
      <c r="B49">
        <v>110.3215544443124</v>
      </c>
    </row>
    <row r="50" spans="1:2" x14ac:dyDescent="0.3">
      <c r="A50" s="1">
        <v>42735</v>
      </c>
      <c r="B50">
        <v>130.69053484839483</v>
      </c>
    </row>
    <row r="51" spans="1:2" x14ac:dyDescent="0.3">
      <c r="A51" s="1">
        <v>42825</v>
      </c>
      <c r="B51">
        <v>108.01285242408969</v>
      </c>
    </row>
    <row r="52" spans="1:2" x14ac:dyDescent="0.3">
      <c r="A52" s="1">
        <v>42916</v>
      </c>
      <c r="B52">
        <v>119.7406758990067</v>
      </c>
    </row>
    <row r="53" spans="1:2" x14ac:dyDescent="0.3">
      <c r="A53" s="1">
        <v>43008</v>
      </c>
      <c r="B53">
        <v>100.14977199350142</v>
      </c>
    </row>
    <row r="54" spans="1:2" x14ac:dyDescent="0.3">
      <c r="A54" s="1">
        <v>43100</v>
      </c>
      <c r="B54">
        <v>113.48604240481508</v>
      </c>
    </row>
    <row r="55" spans="1:2" x14ac:dyDescent="0.3">
      <c r="A55" s="1">
        <v>43190</v>
      </c>
      <c r="B55">
        <v>95.449411461936577</v>
      </c>
    </row>
    <row r="56" spans="1:2" x14ac:dyDescent="0.3">
      <c r="A56" s="1">
        <v>43281</v>
      </c>
      <c r="B56">
        <v>108.22334647525071</v>
      </c>
    </row>
    <row r="57" spans="1:2" x14ac:dyDescent="0.3">
      <c r="A57" s="1">
        <v>43373</v>
      </c>
      <c r="B57">
        <v>94.844968827205975</v>
      </c>
    </row>
    <row r="58" spans="1:2" x14ac:dyDescent="0.3">
      <c r="A58" s="1">
        <v>43465</v>
      </c>
      <c r="B58">
        <v>109.05290976601505</v>
      </c>
    </row>
    <row r="59" spans="1:2" x14ac:dyDescent="0.3">
      <c r="A59" s="1">
        <v>43555</v>
      </c>
      <c r="B59">
        <v>94.809345942432429</v>
      </c>
    </row>
    <row r="60" spans="1:2" x14ac:dyDescent="0.3">
      <c r="A60" s="1">
        <v>43646</v>
      </c>
      <c r="B60">
        <v>99.799561960285956</v>
      </c>
    </row>
    <row r="61" spans="1:2" x14ac:dyDescent="0.3">
      <c r="A61" s="1">
        <v>43738</v>
      </c>
      <c r="B61">
        <v>89.805081741576302</v>
      </c>
    </row>
    <row r="62" spans="1:2" x14ac:dyDescent="0.3">
      <c r="A62" s="1">
        <v>43830</v>
      </c>
      <c r="B62">
        <v>106.65235532847093</v>
      </c>
    </row>
    <row r="63" spans="1:2" x14ac:dyDescent="0.3">
      <c r="A63" s="1">
        <v>43921</v>
      </c>
      <c r="B63">
        <v>90.567846378306854</v>
      </c>
    </row>
    <row r="64" spans="1:2" x14ac:dyDescent="0.3">
      <c r="A64" s="1">
        <v>44012</v>
      </c>
      <c r="B64">
        <v>101.7908419361671</v>
      </c>
    </row>
    <row r="65" spans="1:2" x14ac:dyDescent="0.3">
      <c r="A65" s="1">
        <v>44104</v>
      </c>
      <c r="B65">
        <v>91.370058519986799</v>
      </c>
    </row>
    <row r="66" spans="1:2" x14ac:dyDescent="0.3">
      <c r="A66" s="1">
        <v>44196</v>
      </c>
      <c r="B66">
        <v>107.80053140372384</v>
      </c>
    </row>
    <row r="67" spans="1:2" x14ac:dyDescent="0.3">
      <c r="A67" s="1">
        <v>44286</v>
      </c>
      <c r="B67">
        <v>91.452308286036853</v>
      </c>
    </row>
    <row r="68" spans="1:2" x14ac:dyDescent="0.3">
      <c r="A68" s="1">
        <v>44377</v>
      </c>
      <c r="B68">
        <v>102.45980753395885</v>
      </c>
    </row>
    <row r="69" spans="1:2" x14ac:dyDescent="0.3">
      <c r="A69" s="1">
        <v>44469</v>
      </c>
      <c r="B69">
        <v>88.676290893955539</v>
      </c>
    </row>
    <row r="70" spans="1:2" x14ac:dyDescent="0.3">
      <c r="A70" s="1">
        <v>44561</v>
      </c>
      <c r="B70">
        <v>105.78951806363641</v>
      </c>
    </row>
    <row r="71" spans="1:2" x14ac:dyDescent="0.3">
      <c r="A71" s="1">
        <v>44651</v>
      </c>
      <c r="B71">
        <v>91.180949444470812</v>
      </c>
    </row>
    <row r="72" spans="1:2" x14ac:dyDescent="0.3">
      <c r="A72" s="1">
        <v>44742</v>
      </c>
      <c r="B72">
        <v>101.7439117688904</v>
      </c>
    </row>
    <row r="73" spans="1:2" x14ac:dyDescent="0.3">
      <c r="A73" s="1">
        <v>44834</v>
      </c>
      <c r="B73">
        <v>90.620890266379249</v>
      </c>
    </row>
    <row r="74" spans="1:2" x14ac:dyDescent="0.3">
      <c r="A74" s="1">
        <v>44926</v>
      </c>
      <c r="B74">
        <v>97.968632975891794</v>
      </c>
    </row>
    <row r="75" spans="1:2" x14ac:dyDescent="0.3">
      <c r="A75" s="1">
        <v>45016</v>
      </c>
      <c r="B75">
        <v>81.242830451042749</v>
      </c>
    </row>
    <row r="76" spans="1:2" x14ac:dyDescent="0.3">
      <c r="A76" s="1">
        <v>45107</v>
      </c>
      <c r="B76">
        <v>98.216322947486049</v>
      </c>
    </row>
    <row r="77" spans="1:2" x14ac:dyDescent="0.3">
      <c r="A77" s="1">
        <v>45199</v>
      </c>
      <c r="B77">
        <v>89.236635120051702</v>
      </c>
    </row>
    <row r="78" spans="1:2" x14ac:dyDescent="0.3">
      <c r="A78" s="1">
        <v>45291</v>
      </c>
      <c r="B78">
        <v>105.9244247637249</v>
      </c>
    </row>
    <row r="79" spans="1:2" x14ac:dyDescent="0.3">
      <c r="A79" s="1">
        <v>45382</v>
      </c>
      <c r="B79">
        <v>92.656273802755621</v>
      </c>
    </row>
    <row r="80" spans="1:2" x14ac:dyDescent="0.3">
      <c r="A80" s="1">
        <v>45473</v>
      </c>
      <c r="B80">
        <v>104.09702368424665</v>
      </c>
    </row>
    <row r="81" spans="1:1" x14ac:dyDescent="0.3">
      <c r="A81" s="1">
        <v>45565</v>
      </c>
    </row>
    <row r="82" spans="1:1" x14ac:dyDescent="0.3">
      <c r="A82" s="1">
        <v>45657</v>
      </c>
    </row>
    <row r="83" spans="1:1" x14ac:dyDescent="0.3">
      <c r="A83" s="1">
        <v>45747</v>
      </c>
    </row>
    <row r="84" spans="1:1" x14ac:dyDescent="0.3">
      <c r="A84" s="1">
        <v>45838</v>
      </c>
    </row>
    <row r="85" spans="1:1" x14ac:dyDescent="0.3">
      <c r="A85" s="1">
        <v>45930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D284-4F33-446C-9AE2-144B45795AA8}">
  <dimension ref="A1:H67"/>
  <sheetViews>
    <sheetView workbookViewId="0">
      <selection activeCell="H14" sqref="H14:H67"/>
    </sheetView>
  </sheetViews>
  <sheetFormatPr baseColWidth="10" defaultColWidth="11.44140625" defaultRowHeight="14.4" x14ac:dyDescent="0.3"/>
  <cols>
    <col min="1" max="1" width="11.109375" bestFit="1" customWidth="1"/>
    <col min="2" max="2" width="25.44140625" bestFit="1" customWidth="1"/>
    <col min="3" max="3" width="36.88671875" bestFit="1" customWidth="1"/>
    <col min="4" max="4" width="19.6640625" bestFit="1" customWidth="1"/>
    <col min="5" max="5" width="20.44140625" bestFit="1" customWidth="1"/>
    <col min="6" max="6" width="21.33203125" bestFit="1" customWidth="1"/>
    <col min="7" max="7" width="22.109375" bestFit="1" customWidth="1"/>
  </cols>
  <sheetData>
    <row r="1" spans="1:8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3">
      <c r="A2" s="1">
        <v>39903</v>
      </c>
      <c r="B2" s="2">
        <v>5608.4000000000005</v>
      </c>
      <c r="D2" s="2">
        <v>1179.5826666666669</v>
      </c>
      <c r="E2" s="2">
        <v>1016.1033333333334</v>
      </c>
      <c r="F2" s="2">
        <v>488.10599999999999</v>
      </c>
      <c r="G2" s="2">
        <v>824.98699999999997</v>
      </c>
      <c r="H2" s="2"/>
    </row>
    <row r="3" spans="1:8" x14ac:dyDescent="0.3">
      <c r="A3" s="1">
        <v>39994</v>
      </c>
      <c r="B3" s="2">
        <v>5572.666666666667</v>
      </c>
      <c r="D3" s="2">
        <v>1159.1003333333335</v>
      </c>
      <c r="E3" s="2">
        <v>999.822</v>
      </c>
      <c r="F3" s="2">
        <v>484.93033333333329</v>
      </c>
      <c r="G3" s="2">
        <v>796.30133333333322</v>
      </c>
      <c r="H3" s="2"/>
    </row>
    <row r="4" spans="1:8" x14ac:dyDescent="0.3">
      <c r="A4" s="1">
        <v>40086</v>
      </c>
      <c r="B4" s="2">
        <v>5580.2333333333336</v>
      </c>
      <c r="D4" s="2">
        <v>1158.546</v>
      </c>
      <c r="E4" s="2">
        <v>1000.0859999999999</v>
      </c>
      <c r="F4" s="2">
        <v>483.77133333333336</v>
      </c>
      <c r="G4" s="2">
        <v>795.25633333333337</v>
      </c>
      <c r="H4" s="2"/>
    </row>
    <row r="5" spans="1:8" x14ac:dyDescent="0.3">
      <c r="A5" s="1">
        <v>40178</v>
      </c>
      <c r="B5" s="2">
        <v>5603.5999999999995</v>
      </c>
      <c r="D5" s="2">
        <v>1168.0013333333334</v>
      </c>
      <c r="E5" s="2">
        <v>1016.8633333333333</v>
      </c>
      <c r="F5" s="2">
        <v>486.92</v>
      </c>
      <c r="G5" s="2">
        <v>807.95299999999997</v>
      </c>
      <c r="H5" s="2"/>
    </row>
    <row r="6" spans="1:8" x14ac:dyDescent="0.3">
      <c r="A6" s="1">
        <v>40268</v>
      </c>
      <c r="B6" s="2">
        <v>5638</v>
      </c>
      <c r="D6" s="2">
        <v>1176.2423333333334</v>
      </c>
      <c r="E6" s="2">
        <v>1031.7479999999998</v>
      </c>
      <c r="F6" s="2">
        <v>490.96466666666669</v>
      </c>
      <c r="G6" s="2">
        <v>829.93833333333339</v>
      </c>
      <c r="H6" s="2"/>
    </row>
    <row r="7" spans="1:8" x14ac:dyDescent="0.3">
      <c r="A7" s="1">
        <v>40359</v>
      </c>
      <c r="B7" s="2">
        <v>5692.4333333333334</v>
      </c>
      <c r="D7" s="2">
        <v>1185.2660000000001</v>
      </c>
      <c r="E7" s="2">
        <v>1027.7840000000001</v>
      </c>
      <c r="F7" s="2">
        <v>493.43666666666667</v>
      </c>
      <c r="G7" s="2">
        <v>818.67300000000012</v>
      </c>
      <c r="H7" s="2"/>
    </row>
    <row r="8" spans="1:8" x14ac:dyDescent="0.3">
      <c r="A8" s="1">
        <v>40451</v>
      </c>
      <c r="B8" s="2">
        <v>5746.9333333333334</v>
      </c>
      <c r="D8" s="2">
        <v>1192.1443333333334</v>
      </c>
      <c r="E8" s="2">
        <v>1037.8589999999999</v>
      </c>
      <c r="F8" s="2">
        <v>497.7063333333333</v>
      </c>
      <c r="G8" s="2">
        <v>821.60399999999993</v>
      </c>
      <c r="H8" s="2"/>
    </row>
    <row r="9" spans="1:8" x14ac:dyDescent="0.3">
      <c r="A9" s="1">
        <v>40543</v>
      </c>
      <c r="B9" s="2">
        <v>5809.4333333333334</v>
      </c>
      <c r="D9" s="2">
        <v>1203.5343333333333</v>
      </c>
      <c r="E9" s="2">
        <v>1060.8176666666666</v>
      </c>
      <c r="F9" s="2">
        <v>503.53833333333336</v>
      </c>
      <c r="G9" s="2">
        <v>844.75266666666664</v>
      </c>
      <c r="H9" s="2"/>
    </row>
    <row r="10" spans="1:8" x14ac:dyDescent="0.3">
      <c r="A10" s="1">
        <v>40633</v>
      </c>
      <c r="B10" s="2">
        <v>5889.7000000000007</v>
      </c>
      <c r="D10" s="2">
        <v>1220.595</v>
      </c>
      <c r="E10" s="2">
        <v>1080.2083333333333</v>
      </c>
      <c r="F10" s="2">
        <v>511.55199999999996</v>
      </c>
      <c r="G10" s="2">
        <v>864.80400000000009</v>
      </c>
      <c r="H10" s="2"/>
    </row>
    <row r="11" spans="1:8" x14ac:dyDescent="0.3">
      <c r="A11" s="1">
        <v>40724</v>
      </c>
      <c r="B11" s="2">
        <v>5966.1333333333341</v>
      </c>
      <c r="D11" s="2">
        <v>1233.2360000000001</v>
      </c>
      <c r="E11" s="2">
        <v>1075.0816666666667</v>
      </c>
      <c r="F11" s="2">
        <v>515.79833333333329</v>
      </c>
      <c r="G11" s="2">
        <v>854.07133333333331</v>
      </c>
      <c r="H11" s="2"/>
    </row>
    <row r="12" spans="1:8" x14ac:dyDescent="0.3">
      <c r="A12" s="1">
        <v>40816</v>
      </c>
      <c r="B12" s="2">
        <v>6021.6333333333341</v>
      </c>
      <c r="D12" s="2">
        <v>1242.8553333333332</v>
      </c>
      <c r="E12" s="2">
        <v>1085.1369999999999</v>
      </c>
      <c r="F12" s="2">
        <v>521.47699999999998</v>
      </c>
      <c r="G12" s="2">
        <v>858.13766666666663</v>
      </c>
      <c r="H12" s="2"/>
    </row>
    <row r="13" spans="1:8" x14ac:dyDescent="0.3">
      <c r="A13" s="1">
        <v>40908</v>
      </c>
      <c r="B13" s="2">
        <v>6067.166666666667</v>
      </c>
      <c r="D13" s="2">
        <v>1255.5526666666667</v>
      </c>
      <c r="E13" s="2">
        <v>1105.2503333333334</v>
      </c>
      <c r="F13" s="2">
        <v>527.71733333333339</v>
      </c>
      <c r="G13" s="2">
        <v>872.59633333333329</v>
      </c>
      <c r="H13" s="2"/>
    </row>
    <row r="14" spans="1:8" x14ac:dyDescent="0.3">
      <c r="A14" s="1">
        <v>40999</v>
      </c>
      <c r="B14" s="2">
        <v>6067.6333333333341</v>
      </c>
      <c r="C14" s="2">
        <v>2581.3333333333335</v>
      </c>
      <c r="D14" s="2">
        <v>1257.3440000000001</v>
      </c>
      <c r="E14" s="2">
        <v>1115.306</v>
      </c>
      <c r="F14" s="2">
        <v>531.8746666666666</v>
      </c>
      <c r="G14" s="2">
        <v>881.5003333333334</v>
      </c>
      <c r="H14" s="2">
        <v>8662.1483333333326</v>
      </c>
    </row>
    <row r="15" spans="1:8" x14ac:dyDescent="0.3">
      <c r="A15" s="1">
        <v>41090</v>
      </c>
      <c r="B15" s="2">
        <v>6062.1333333333341</v>
      </c>
      <c r="C15" s="2">
        <v>2615.0666666666671</v>
      </c>
      <c r="D15" s="2">
        <v>1252.0423333333333</v>
      </c>
      <c r="E15" s="2">
        <v>1100.4750000000001</v>
      </c>
      <c r="F15" s="2">
        <v>531.28633333333335</v>
      </c>
      <c r="G15" s="2">
        <v>855.0243333333334</v>
      </c>
      <c r="H15" s="2">
        <v>8680.5860000000011</v>
      </c>
    </row>
    <row r="16" spans="1:8" x14ac:dyDescent="0.3">
      <c r="A16" s="1">
        <v>41182</v>
      </c>
      <c r="B16" s="2">
        <v>6060.5</v>
      </c>
      <c r="C16" s="2">
        <v>2631.5</v>
      </c>
      <c r="D16" s="2">
        <v>1251.4673333333333</v>
      </c>
      <c r="E16" s="2">
        <v>1099.7246666666667</v>
      </c>
      <c r="F16" s="2">
        <v>532.77266666666662</v>
      </c>
      <c r="G16" s="2">
        <v>845.75166666666667</v>
      </c>
      <c r="H16" s="2">
        <v>8693.221333333333</v>
      </c>
    </row>
    <row r="17" spans="1:8" x14ac:dyDescent="0.3">
      <c r="A17" s="1">
        <v>41274</v>
      </c>
      <c r="B17" s="2">
        <v>6074.4000000000005</v>
      </c>
      <c r="C17" s="2">
        <v>2670.8666666666663</v>
      </c>
      <c r="D17" s="2">
        <v>1259.8886666666665</v>
      </c>
      <c r="E17" s="2">
        <v>1115.4003333333333</v>
      </c>
      <c r="F17" s="2">
        <v>535.92933333333337</v>
      </c>
      <c r="G17" s="2">
        <v>853.5236666666666</v>
      </c>
      <c r="H17" s="2">
        <v>8725.907666666666</v>
      </c>
    </row>
    <row r="18" spans="1:8" x14ac:dyDescent="0.3">
      <c r="A18" s="1">
        <v>41364</v>
      </c>
      <c r="B18" s="2">
        <v>6098</v>
      </c>
      <c r="C18" s="2">
        <v>2704.8</v>
      </c>
      <c r="D18" s="2">
        <v>1266.6353333333334</v>
      </c>
      <c r="E18" s="2">
        <v>1127.386</v>
      </c>
      <c r="F18" s="2">
        <v>538.30200000000002</v>
      </c>
      <c r="G18" s="2">
        <v>862.47866666666675</v>
      </c>
      <c r="H18" s="2">
        <v>8818.19</v>
      </c>
    </row>
    <row r="19" spans="1:8" x14ac:dyDescent="0.3">
      <c r="A19" s="1">
        <v>41455</v>
      </c>
      <c r="B19" s="2">
        <v>6109.333333333333</v>
      </c>
      <c r="C19" s="2">
        <v>2781.6</v>
      </c>
      <c r="D19" s="2">
        <v>1263.9146666666668</v>
      </c>
      <c r="E19" s="2">
        <v>1111.7416666666668</v>
      </c>
      <c r="F19" s="2">
        <v>538.46600000000001</v>
      </c>
      <c r="G19" s="2">
        <v>842.99733333333336</v>
      </c>
      <c r="H19" s="2">
        <v>8894.3093333333327</v>
      </c>
    </row>
    <row r="20" spans="1:8" x14ac:dyDescent="0.3">
      <c r="A20" s="1">
        <v>41547</v>
      </c>
      <c r="B20" s="2">
        <v>6116.8</v>
      </c>
      <c r="C20" s="2">
        <v>2813.9</v>
      </c>
      <c r="D20" s="2">
        <v>1262.8023333333333</v>
      </c>
      <c r="E20" s="2">
        <v>1113.4733333333334</v>
      </c>
      <c r="F20" s="2">
        <v>541.91100000000006</v>
      </c>
      <c r="G20" s="2">
        <v>838.06</v>
      </c>
      <c r="H20" s="2">
        <v>8931.4733333333352</v>
      </c>
    </row>
    <row r="21" spans="1:8" x14ac:dyDescent="0.3">
      <c r="A21" s="1">
        <v>41639</v>
      </c>
      <c r="B21" s="2">
        <v>6122.0999999999995</v>
      </c>
      <c r="C21" s="2">
        <v>2863.8666666666668</v>
      </c>
      <c r="D21" s="2">
        <v>1266.6366666666668</v>
      </c>
      <c r="E21" s="2">
        <v>1126.8263333333334</v>
      </c>
      <c r="F21" s="2">
        <v>545.3363333333333</v>
      </c>
      <c r="G21" s="2">
        <v>846.55966666666666</v>
      </c>
      <c r="H21" s="2">
        <v>8964.8043333333335</v>
      </c>
    </row>
    <row r="22" spans="1:8" x14ac:dyDescent="0.3">
      <c r="A22" s="1">
        <v>41729</v>
      </c>
      <c r="B22" s="2">
        <v>6105.166666666667</v>
      </c>
      <c r="C22" s="2">
        <v>2827.4</v>
      </c>
      <c r="D22" s="2">
        <v>1259.4336666666668</v>
      </c>
      <c r="E22" s="2">
        <v>1135.1199999999999</v>
      </c>
      <c r="F22" s="2">
        <v>545.53600000000006</v>
      </c>
      <c r="G22" s="2">
        <v>846.32966666666653</v>
      </c>
      <c r="H22" s="2">
        <v>8950.4080000000013</v>
      </c>
    </row>
    <row r="23" spans="1:8" x14ac:dyDescent="0.3">
      <c r="A23" s="1">
        <v>41820</v>
      </c>
      <c r="B23" s="2">
        <v>6103.2333333333336</v>
      </c>
      <c r="C23" s="2">
        <v>2880.2999999999997</v>
      </c>
      <c r="D23" s="2">
        <v>1249.8419999999999</v>
      </c>
      <c r="E23" s="2">
        <v>1116.2216666666666</v>
      </c>
      <c r="F23" s="2">
        <v>544.30466666666666</v>
      </c>
      <c r="G23" s="2">
        <v>825.83166666666659</v>
      </c>
      <c r="H23" s="2">
        <v>8986.9753333333338</v>
      </c>
    </row>
    <row r="24" spans="1:8" x14ac:dyDescent="0.3">
      <c r="A24" s="1">
        <v>41912</v>
      </c>
      <c r="B24" s="2">
        <v>6114.166666666667</v>
      </c>
      <c r="C24" s="2">
        <v>2911.7666666666664</v>
      </c>
      <c r="D24" s="2">
        <v>1243.7876666666668</v>
      </c>
      <c r="E24" s="2">
        <v>1116.7573333333332</v>
      </c>
      <c r="F24" s="2">
        <v>545.8513333333334</v>
      </c>
      <c r="G24" s="2">
        <v>817.78666666666675</v>
      </c>
      <c r="H24" s="2">
        <v>9025.8023333333349</v>
      </c>
    </row>
    <row r="25" spans="1:8" x14ac:dyDescent="0.3">
      <c r="A25" s="1">
        <v>42004</v>
      </c>
      <c r="B25" s="2">
        <v>6135.333333333333</v>
      </c>
      <c r="C25" s="2">
        <v>2960.6999999999994</v>
      </c>
      <c r="D25" s="2">
        <v>1243.9643333333333</v>
      </c>
      <c r="E25" s="2">
        <v>1126.3579999999999</v>
      </c>
      <c r="F25" s="2">
        <v>548.34933333333322</v>
      </c>
      <c r="G25" s="2">
        <v>831.65</v>
      </c>
      <c r="H25" s="2">
        <v>9073.471333333333</v>
      </c>
    </row>
    <row r="26" spans="1:8" x14ac:dyDescent="0.3">
      <c r="A26" s="1">
        <v>42094</v>
      </c>
      <c r="B26" s="2">
        <v>6176.4000000000005</v>
      </c>
      <c r="C26" s="2">
        <v>2946.0666666666671</v>
      </c>
      <c r="D26" s="2">
        <v>1248.0106666666666</v>
      </c>
      <c r="E26" s="2">
        <v>1139.5763333333334</v>
      </c>
      <c r="F26" s="2">
        <v>551.69166666666672</v>
      </c>
      <c r="G26" s="2">
        <v>848.87866666666662</v>
      </c>
      <c r="H26" s="2">
        <v>9142.4639999999999</v>
      </c>
    </row>
    <row r="27" spans="1:8" x14ac:dyDescent="0.3">
      <c r="A27" s="1">
        <v>42185</v>
      </c>
      <c r="B27" s="2">
        <v>6233.5333333333328</v>
      </c>
      <c r="C27" s="2">
        <v>2998.7000000000003</v>
      </c>
      <c r="D27" s="2">
        <v>1253.204</v>
      </c>
      <c r="E27" s="2">
        <v>1133.579</v>
      </c>
      <c r="F27" s="2">
        <v>553.67433333333327</v>
      </c>
      <c r="G27" s="2">
        <v>837.91133333333335</v>
      </c>
      <c r="H27" s="2">
        <v>9235.9046666666673</v>
      </c>
    </row>
    <row r="28" spans="1:8" x14ac:dyDescent="0.3">
      <c r="A28" s="1">
        <v>42277</v>
      </c>
      <c r="B28" s="2">
        <v>6260.2</v>
      </c>
      <c r="C28" s="2">
        <v>3065.6000000000004</v>
      </c>
      <c r="D28" s="2">
        <v>1254.8446666666666</v>
      </c>
      <c r="E28" s="2">
        <v>1139.1703333333332</v>
      </c>
      <c r="F28" s="2">
        <v>558.77233333333334</v>
      </c>
      <c r="G28" s="2">
        <v>839.99566666666669</v>
      </c>
      <c r="H28" s="2">
        <v>9324.2586666666666</v>
      </c>
    </row>
    <row r="29" spans="1:8" x14ac:dyDescent="0.3">
      <c r="A29" s="1">
        <v>42369</v>
      </c>
      <c r="B29" s="2">
        <v>6246.833333333333</v>
      </c>
      <c r="C29" s="2">
        <v>3111.6</v>
      </c>
      <c r="D29" s="2">
        <v>1255.3119999999999</v>
      </c>
      <c r="E29" s="2">
        <v>1151.2466666666667</v>
      </c>
      <c r="F29" s="2">
        <v>562.49266666666665</v>
      </c>
      <c r="G29" s="2">
        <v>853.15033333333338</v>
      </c>
      <c r="H29" s="2">
        <v>9335.4680000000008</v>
      </c>
    </row>
    <row r="30" spans="1:8" x14ac:dyDescent="0.3">
      <c r="A30" s="1">
        <v>42460</v>
      </c>
      <c r="B30" s="2">
        <v>6204.7</v>
      </c>
      <c r="C30" s="2">
        <v>3069.1</v>
      </c>
      <c r="D30" s="2">
        <v>1246.1133333333335</v>
      </c>
      <c r="E30" s="2">
        <v>1162.2006666666668</v>
      </c>
      <c r="F30" s="2">
        <v>562.56399999999996</v>
      </c>
      <c r="G30" s="2">
        <v>852.38266666666675</v>
      </c>
      <c r="H30" s="2">
        <v>9295.3386666666684</v>
      </c>
    </row>
    <row r="31" spans="1:8" x14ac:dyDescent="0.3">
      <c r="A31" s="1">
        <v>42551</v>
      </c>
      <c r="B31" s="2">
        <v>6179.9000000000005</v>
      </c>
      <c r="C31" s="2">
        <v>3100.8666666666663</v>
      </c>
      <c r="D31" s="2">
        <v>1230.2863333333335</v>
      </c>
      <c r="E31" s="2">
        <v>1148.636</v>
      </c>
      <c r="F31" s="2">
        <v>557.87366666666674</v>
      </c>
      <c r="G31" s="2">
        <v>827.92033333333336</v>
      </c>
      <c r="H31" s="2">
        <v>9284.5663333333341</v>
      </c>
    </row>
    <row r="32" spans="1:8" x14ac:dyDescent="0.3">
      <c r="A32" s="1">
        <v>42643</v>
      </c>
      <c r="B32" s="2">
        <v>6170.6333333333341</v>
      </c>
      <c r="C32" s="2">
        <v>3117.7000000000003</v>
      </c>
      <c r="D32" s="2">
        <v>1218.096</v>
      </c>
      <c r="E32" s="2">
        <v>1150.5289999999998</v>
      </c>
      <c r="F32" s="2">
        <v>557.70233333333329</v>
      </c>
      <c r="G32" s="2">
        <v>818.67233333333343</v>
      </c>
      <c r="H32" s="2">
        <v>9285.5079999999998</v>
      </c>
    </row>
    <row r="33" spans="1:8" x14ac:dyDescent="0.3">
      <c r="A33" s="1">
        <v>42735</v>
      </c>
      <c r="B33" s="2">
        <v>6183.8666666666659</v>
      </c>
      <c r="C33" s="2">
        <v>3140</v>
      </c>
      <c r="D33" s="2">
        <v>1209.1706666666666</v>
      </c>
      <c r="E33" s="2">
        <v>1162.8816666666667</v>
      </c>
      <c r="F33" s="2">
        <v>560.58600000000001</v>
      </c>
      <c r="G33" s="2">
        <v>828.32766666666669</v>
      </c>
      <c r="H33" s="2">
        <v>9300.9996666666648</v>
      </c>
    </row>
    <row r="34" spans="1:8" x14ac:dyDescent="0.3">
      <c r="A34" s="1">
        <v>42825</v>
      </c>
      <c r="B34" s="2">
        <v>6194.666666666667</v>
      </c>
      <c r="C34" s="2">
        <v>3101.4333333333329</v>
      </c>
      <c r="D34" s="2">
        <v>1205.5129999999999</v>
      </c>
      <c r="E34" s="2">
        <v>1171.1506666666667</v>
      </c>
      <c r="F34" s="2">
        <v>560.02266666666662</v>
      </c>
      <c r="G34" s="2">
        <v>842.31166666666661</v>
      </c>
      <c r="H34" s="2">
        <v>9318.5626666666667</v>
      </c>
    </row>
    <row r="35" spans="1:8" x14ac:dyDescent="0.3">
      <c r="A35" s="1">
        <v>42916</v>
      </c>
      <c r="B35" s="2">
        <v>6212.9333333333334</v>
      </c>
      <c r="C35" s="2">
        <v>3133.7666666666664</v>
      </c>
      <c r="D35" s="2">
        <v>1196.4686666666666</v>
      </c>
      <c r="E35" s="2">
        <v>1159.5060000000001</v>
      </c>
      <c r="F35" s="2">
        <v>557.06466666666665</v>
      </c>
      <c r="G35" s="2">
        <v>826.0619999999999</v>
      </c>
      <c r="H35" s="2">
        <v>9350.366</v>
      </c>
    </row>
    <row r="36" spans="1:8" x14ac:dyDescent="0.3">
      <c r="A36" s="1">
        <v>43008</v>
      </c>
      <c r="B36" s="2">
        <v>6238.7666666666664</v>
      </c>
      <c r="C36" s="2">
        <v>3156</v>
      </c>
      <c r="D36" s="2">
        <v>1190.3533333333335</v>
      </c>
      <c r="E36" s="2">
        <v>1163.6096666666665</v>
      </c>
      <c r="F36" s="2">
        <v>558.8463333333334</v>
      </c>
      <c r="G36" s="2">
        <v>825.76299999999992</v>
      </c>
      <c r="H36" s="2">
        <v>9391.028666666667</v>
      </c>
    </row>
    <row r="37" spans="1:8" x14ac:dyDescent="0.3">
      <c r="A37" s="1">
        <v>43100</v>
      </c>
      <c r="B37" s="2">
        <v>6269.2</v>
      </c>
      <c r="C37" s="2">
        <v>3183.2333333333336</v>
      </c>
      <c r="D37" s="2">
        <v>1191.7619999999999</v>
      </c>
      <c r="E37" s="2">
        <v>1177.1573333333333</v>
      </c>
      <c r="F37" s="2">
        <v>561.46833333333325</v>
      </c>
      <c r="G37" s="2">
        <v>840.00366666666685</v>
      </c>
      <c r="H37" s="2">
        <v>9429.9373333333351</v>
      </c>
    </row>
    <row r="38" spans="1:8" x14ac:dyDescent="0.3">
      <c r="A38" s="1">
        <v>43190</v>
      </c>
      <c r="B38" s="2">
        <v>6274.9333333333334</v>
      </c>
      <c r="C38" s="2">
        <v>3144</v>
      </c>
      <c r="D38" s="2">
        <v>1191.144</v>
      </c>
      <c r="E38" s="2">
        <v>1186.442</v>
      </c>
      <c r="F38" s="2">
        <v>561.89800000000002</v>
      </c>
      <c r="G38" s="2">
        <v>853.35933333333332</v>
      </c>
      <c r="H38" s="2">
        <v>9441.7993333333343</v>
      </c>
    </row>
    <row r="39" spans="1:8" x14ac:dyDescent="0.3">
      <c r="A39" s="1">
        <v>43281</v>
      </c>
      <c r="B39" s="2">
        <v>6270.4333333333334</v>
      </c>
      <c r="C39" s="2">
        <v>3156.5666666666671</v>
      </c>
      <c r="D39" s="2">
        <v>1176.0919999999999</v>
      </c>
      <c r="E39" s="2">
        <v>1170.8723333333335</v>
      </c>
      <c r="F39" s="2">
        <v>558.70799999999997</v>
      </c>
      <c r="G39" s="2">
        <v>837.15299999999991</v>
      </c>
      <c r="H39" s="2">
        <v>9430.2763333333332</v>
      </c>
    </row>
    <row r="40" spans="1:8" x14ac:dyDescent="0.3">
      <c r="A40" s="1">
        <v>43373</v>
      </c>
      <c r="B40" s="2">
        <v>6229.5999999999995</v>
      </c>
      <c r="C40" s="2">
        <v>3164.7666666666664</v>
      </c>
      <c r="D40" s="2">
        <v>1156.9649999999999</v>
      </c>
      <c r="E40" s="2">
        <v>1161.4463333333333</v>
      </c>
      <c r="F40" s="2">
        <v>555.40300000000002</v>
      </c>
      <c r="G40" s="2">
        <v>829.05966666666666</v>
      </c>
      <c r="H40" s="2">
        <v>9390.480333333333</v>
      </c>
    </row>
    <row r="41" spans="1:8" x14ac:dyDescent="0.3">
      <c r="A41" s="1">
        <v>43465</v>
      </c>
      <c r="B41" s="2">
        <v>6172.4333333333343</v>
      </c>
      <c r="C41" s="2">
        <v>3182.0333333333333</v>
      </c>
      <c r="D41" s="2">
        <v>1136.7676666666666</v>
      </c>
      <c r="E41" s="2">
        <v>1149.9133333333332</v>
      </c>
      <c r="F41" s="2">
        <v>550.51666666666677</v>
      </c>
      <c r="G41" s="2">
        <v>832.01466666666659</v>
      </c>
      <c r="H41" s="2">
        <v>9332.2276666666676</v>
      </c>
    </row>
    <row r="42" spans="1:8" x14ac:dyDescent="0.3">
      <c r="A42" s="1">
        <v>43555</v>
      </c>
      <c r="B42" s="2">
        <v>6143.2666666666664</v>
      </c>
      <c r="C42" s="2">
        <v>3145.7333333333336</v>
      </c>
      <c r="D42" s="2">
        <v>1129.0236666666667</v>
      </c>
      <c r="E42" s="2">
        <v>1145.4423333333332</v>
      </c>
      <c r="F42" s="2">
        <v>545.71433333333334</v>
      </c>
      <c r="G42" s="2">
        <v>842.09299999999996</v>
      </c>
      <c r="H42" s="2">
        <v>9311.9770000000008</v>
      </c>
    </row>
    <row r="43" spans="1:8" x14ac:dyDescent="0.3">
      <c r="A43" s="1">
        <v>43646</v>
      </c>
      <c r="B43" s="2">
        <v>6119.7666666666664</v>
      </c>
      <c r="C43" s="2">
        <v>3181.4666666666667</v>
      </c>
      <c r="D43" s="2">
        <v>1112.6913333333332</v>
      </c>
      <c r="E43" s="2">
        <v>1123.8136666666667</v>
      </c>
      <c r="F43" s="2">
        <v>540.2886666666667</v>
      </c>
      <c r="G43" s="2">
        <v>823.30400000000009</v>
      </c>
      <c r="H43" s="2">
        <v>9304.0149999999994</v>
      </c>
    </row>
    <row r="44" spans="1:8" x14ac:dyDescent="0.3">
      <c r="A44" s="1">
        <v>43738</v>
      </c>
      <c r="B44" s="2">
        <v>6088.9000000000005</v>
      </c>
      <c r="C44" s="2">
        <v>3196.6666666666665</v>
      </c>
      <c r="D44" s="2">
        <v>1101.8986666666667</v>
      </c>
      <c r="E44" s="2">
        <v>1119.2843333333333</v>
      </c>
      <c r="F44" s="2">
        <v>537.98733333333337</v>
      </c>
      <c r="G44" s="2">
        <v>820.94866666666667</v>
      </c>
      <c r="H44" s="2">
        <v>9281.7613333333338</v>
      </c>
    </row>
    <row r="45" spans="1:8" x14ac:dyDescent="0.3">
      <c r="A45" s="1">
        <v>43830</v>
      </c>
      <c r="B45" s="2">
        <v>6022.7000000000007</v>
      </c>
      <c r="C45" s="2">
        <v>3230.0333333333333</v>
      </c>
      <c r="D45" s="2">
        <v>1087.6499999999999</v>
      </c>
      <c r="E45" s="2">
        <v>1116.4010000000001</v>
      </c>
      <c r="F45" s="2">
        <v>537.1</v>
      </c>
      <c r="G45" s="2">
        <v>828.29933333333338</v>
      </c>
      <c r="H45" s="2">
        <v>9231.0016666666652</v>
      </c>
    </row>
    <row r="46" spans="1:8" x14ac:dyDescent="0.3">
      <c r="A46" s="1">
        <v>43921</v>
      </c>
      <c r="B46" s="2">
        <v>5975.5666666666657</v>
      </c>
      <c r="C46" s="2">
        <v>3189.2999999999997</v>
      </c>
      <c r="D46" s="2">
        <v>1088.452</v>
      </c>
      <c r="E46" s="2">
        <v>1121.2969999999998</v>
      </c>
      <c r="F46" s="2">
        <v>534.88400000000001</v>
      </c>
      <c r="G46" s="2">
        <v>838.47433333333322</v>
      </c>
      <c r="H46" s="2">
        <v>9187.7006666666657</v>
      </c>
    </row>
    <row r="47" spans="1:8" x14ac:dyDescent="0.3">
      <c r="A47" s="1">
        <v>44012</v>
      </c>
      <c r="B47" s="2">
        <v>5821.3</v>
      </c>
      <c r="C47" s="2">
        <v>3198.6999999999994</v>
      </c>
      <c r="D47" s="2">
        <v>1076.0123333333333</v>
      </c>
      <c r="E47" s="2">
        <v>1093.6323333333332</v>
      </c>
      <c r="F47" s="2">
        <v>522.9946666666666</v>
      </c>
      <c r="G47" s="2">
        <v>802.98433333333332</v>
      </c>
      <c r="H47" s="2">
        <v>9022.0596666666661</v>
      </c>
    </row>
    <row r="48" spans="1:8" x14ac:dyDescent="0.3">
      <c r="A48" s="1">
        <v>44104</v>
      </c>
      <c r="B48" s="2">
        <v>5797.0666666666666</v>
      </c>
      <c r="C48" s="2">
        <v>3206.0666666666671</v>
      </c>
      <c r="D48" s="2">
        <v>1081.0203333333332</v>
      </c>
      <c r="E48" s="2">
        <v>1089.0176666666666</v>
      </c>
      <c r="F48" s="2">
        <v>518.97766666666666</v>
      </c>
      <c r="G48" s="2">
        <v>811.74733333333336</v>
      </c>
      <c r="H48" s="2">
        <v>8999.8073333333323</v>
      </c>
    </row>
    <row r="49" spans="1:8" x14ac:dyDescent="0.3">
      <c r="A49" s="1">
        <v>44196</v>
      </c>
      <c r="B49" s="2">
        <v>5805.333333333333</v>
      </c>
      <c r="C49" s="2">
        <v>3236.7999999999997</v>
      </c>
      <c r="D49" s="2">
        <v>1092.1623333333334</v>
      </c>
      <c r="E49" s="2">
        <v>1092.5013333333334</v>
      </c>
      <c r="F49" s="2">
        <v>516.30466666666666</v>
      </c>
      <c r="G49" s="2">
        <v>830.52733333333344</v>
      </c>
      <c r="H49" s="2">
        <v>9020.7939999999999</v>
      </c>
    </row>
    <row r="50" spans="1:8" x14ac:dyDescent="0.3">
      <c r="A50" s="1">
        <v>44286</v>
      </c>
      <c r="B50" s="2">
        <v>5841.2</v>
      </c>
      <c r="C50" s="2">
        <v>3218.8000000000006</v>
      </c>
      <c r="D50" s="2">
        <v>1104.6113333333335</v>
      </c>
      <c r="E50" s="2">
        <v>1101.547</v>
      </c>
      <c r="F50" s="2">
        <v>516.09299999999996</v>
      </c>
      <c r="G50" s="2">
        <v>848.33100000000002</v>
      </c>
      <c r="H50" s="2">
        <v>9082.5883333333331</v>
      </c>
    </row>
    <row r="51" spans="1:8" x14ac:dyDescent="0.3">
      <c r="A51" s="1">
        <v>44377</v>
      </c>
      <c r="B51" s="2">
        <v>5898.166666666667</v>
      </c>
      <c r="C51" s="2">
        <v>3270.3666666666668</v>
      </c>
      <c r="D51" s="2">
        <v>1109.8536666666666</v>
      </c>
      <c r="E51" s="2">
        <v>1097.3496666666667</v>
      </c>
      <c r="F51" s="2">
        <v>512.94600000000003</v>
      </c>
      <c r="G51" s="2">
        <v>846.59</v>
      </c>
      <c r="H51" s="2">
        <v>9170.1803333333337</v>
      </c>
    </row>
    <row r="52" spans="1:8" x14ac:dyDescent="0.3">
      <c r="A52" s="1">
        <v>44469</v>
      </c>
      <c r="B52" s="2">
        <v>5918.6000000000013</v>
      </c>
      <c r="C52" s="2">
        <v>3301.6</v>
      </c>
      <c r="D52" s="2">
        <v>1112.046</v>
      </c>
      <c r="E52" s="2">
        <v>1099.7363333333333</v>
      </c>
      <c r="F52" s="2">
        <v>511.51033333333334</v>
      </c>
      <c r="G52" s="2">
        <v>845.80266666666682</v>
      </c>
      <c r="H52" s="2">
        <v>9217.0726666666669</v>
      </c>
    </row>
    <row r="53" spans="1:8" x14ac:dyDescent="0.3">
      <c r="A53" s="1">
        <v>44561</v>
      </c>
      <c r="B53" s="2">
        <v>5976.8999999999987</v>
      </c>
      <c r="C53" s="2">
        <v>3349</v>
      </c>
      <c r="D53" s="2">
        <v>1121.8413333333331</v>
      </c>
      <c r="E53" s="2">
        <v>1117.9003333333333</v>
      </c>
      <c r="F53" s="2">
        <v>514.97966666666662</v>
      </c>
      <c r="G53" s="2">
        <v>863.63333333333333</v>
      </c>
      <c r="H53" s="2">
        <v>9305.0863333333346</v>
      </c>
    </row>
    <row r="54" spans="1:8" x14ac:dyDescent="0.3">
      <c r="A54" s="1">
        <v>44651</v>
      </c>
      <c r="B54" s="2">
        <v>6062.5</v>
      </c>
      <c r="C54" s="2">
        <v>3316.4666666666667</v>
      </c>
      <c r="D54" s="2">
        <v>1139.8873333333333</v>
      </c>
      <c r="E54" s="2">
        <v>1140.8836666666668</v>
      </c>
      <c r="F54" s="2">
        <v>519.779</v>
      </c>
      <c r="G54" s="2">
        <v>890.18666666666661</v>
      </c>
      <c r="H54" s="2">
        <v>9401.0993333333336</v>
      </c>
    </row>
    <row r="55" spans="1:8" x14ac:dyDescent="0.3">
      <c r="A55" s="1">
        <v>44742</v>
      </c>
      <c r="B55" s="2">
        <v>6142.666666666667</v>
      </c>
      <c r="C55" s="2">
        <v>3356.2333333333336</v>
      </c>
      <c r="D55" s="2">
        <v>1149.9866666666667</v>
      </c>
      <c r="E55" s="2">
        <v>1145.9916666666668</v>
      </c>
      <c r="F55" s="2">
        <v>519.04800000000012</v>
      </c>
      <c r="G55" s="2">
        <v>878.70166666666671</v>
      </c>
      <c r="H55" s="2">
        <v>9500.4056666666656</v>
      </c>
    </row>
    <row r="56" spans="1:8" x14ac:dyDescent="0.3">
      <c r="A56" s="1">
        <v>44834</v>
      </c>
      <c r="B56" s="2">
        <v>6212.166666666667</v>
      </c>
      <c r="C56" s="2">
        <v>3376.7666666666664</v>
      </c>
      <c r="D56" s="2">
        <v>1161.8493333333333</v>
      </c>
      <c r="E56" s="2">
        <v>1162.7143333333333</v>
      </c>
      <c r="F56" s="2">
        <v>523.92399999999998</v>
      </c>
      <c r="G56" s="2">
        <v>881.87233333333336</v>
      </c>
      <c r="H56" s="2">
        <v>9586.0330000000013</v>
      </c>
    </row>
    <row r="57" spans="1:8" x14ac:dyDescent="0.3">
      <c r="A57" s="1">
        <v>44926</v>
      </c>
      <c r="B57" s="2">
        <v>6261.5666666666666</v>
      </c>
      <c r="C57" s="2">
        <v>3405.2000000000003</v>
      </c>
      <c r="D57" s="2">
        <v>1171.6940000000002</v>
      </c>
      <c r="E57" s="2">
        <v>1184.0963333333332</v>
      </c>
      <c r="F57" s="2">
        <v>527.5483333333334</v>
      </c>
      <c r="G57" s="2">
        <v>894.58066666666673</v>
      </c>
      <c r="H57" s="2">
        <v>9646.2613333333338</v>
      </c>
    </row>
    <row r="58" spans="1:8" x14ac:dyDescent="0.3">
      <c r="A58" s="1">
        <v>45016</v>
      </c>
      <c r="B58" s="2">
        <v>6315.4666666666672</v>
      </c>
      <c r="C58" s="2">
        <v>3387.8666666666668</v>
      </c>
      <c r="D58" s="2">
        <v>1185.7189999999998</v>
      </c>
      <c r="E58" s="2">
        <v>1205.7049999999999</v>
      </c>
      <c r="F58" s="2">
        <v>529.15433333333328</v>
      </c>
      <c r="G58" s="2">
        <v>910.11133333333339</v>
      </c>
      <c r="H58" s="2">
        <v>9725.0193333333336</v>
      </c>
    </row>
    <row r="59" spans="1:8" x14ac:dyDescent="0.3">
      <c r="A59" s="1">
        <v>45107</v>
      </c>
      <c r="B59" s="2">
        <v>6370.5666666666657</v>
      </c>
      <c r="C59" s="2">
        <v>3439.2000000000003</v>
      </c>
      <c r="D59" s="2">
        <v>1188.3403333333333</v>
      </c>
      <c r="E59" s="2">
        <v>1207.1849999999999</v>
      </c>
      <c r="F59" s="2">
        <v>527.10133333333329</v>
      </c>
      <c r="G59" s="2">
        <v>896.76599999999996</v>
      </c>
      <c r="H59" s="2">
        <v>9811.3726666666662</v>
      </c>
    </row>
    <row r="60" spans="1:8" x14ac:dyDescent="0.3">
      <c r="A60" s="1">
        <v>45199</v>
      </c>
      <c r="B60" s="2">
        <v>6402.5666666666666</v>
      </c>
      <c r="C60" s="2">
        <v>3467.5333333333333</v>
      </c>
      <c r="D60" s="2">
        <v>1194.5063333333333</v>
      </c>
      <c r="E60" s="2">
        <v>1223.0330000000001</v>
      </c>
      <c r="F60" s="2">
        <v>530.36900000000003</v>
      </c>
      <c r="G60" s="2">
        <v>896.09933333333322</v>
      </c>
      <c r="H60" s="2">
        <v>9867.3106666666663</v>
      </c>
    </row>
    <row r="61" spans="1:8" x14ac:dyDescent="0.3">
      <c r="A61" s="1">
        <v>45291</v>
      </c>
      <c r="B61" s="2">
        <v>6369.3</v>
      </c>
      <c r="C61" s="2">
        <v>3490.1333333333332</v>
      </c>
      <c r="D61" s="2">
        <v>1193.6163333333334</v>
      </c>
      <c r="E61" s="2">
        <v>1235.5763333333332</v>
      </c>
      <c r="F61" s="2">
        <v>530.40566666666666</v>
      </c>
      <c r="G61" s="2">
        <v>903.25233333333335</v>
      </c>
      <c r="H61" s="2">
        <v>9839.253999999999</v>
      </c>
    </row>
    <row r="62" spans="1:8" x14ac:dyDescent="0.3">
      <c r="A62" s="1">
        <v>45382</v>
      </c>
      <c r="B62" s="2">
        <v>6300.4333333333334</v>
      </c>
      <c r="C62" s="2">
        <v>3420.9</v>
      </c>
      <c r="D62" s="2">
        <v>1190.7073333333335</v>
      </c>
      <c r="E62" s="2">
        <v>1237.1130000000001</v>
      </c>
      <c r="F62" s="2">
        <v>526.87333333333333</v>
      </c>
      <c r="G62" s="2">
        <v>906.23866666666663</v>
      </c>
      <c r="H62" s="2">
        <v>9742.4319999999989</v>
      </c>
    </row>
    <row r="63" spans="1:8" x14ac:dyDescent="0.3">
      <c r="A63" s="1">
        <v>45473</v>
      </c>
      <c r="B63" s="2">
        <v>6252</v>
      </c>
      <c r="C63" s="2">
        <v>3429.3000000000006</v>
      </c>
      <c r="D63" s="2">
        <v>1169.5173333333332</v>
      </c>
      <c r="E63" s="2">
        <v>1221.3639999999998</v>
      </c>
      <c r="F63" s="2">
        <v>518.95966666666675</v>
      </c>
      <c r="G63" s="2">
        <v>881.15</v>
      </c>
      <c r="H63" s="2">
        <v>9683.1890000000003</v>
      </c>
    </row>
    <row r="64" spans="1:8" x14ac:dyDescent="0.3">
      <c r="A64" s="1">
        <v>45565</v>
      </c>
      <c r="B64" s="2">
        <v>6239.5</v>
      </c>
      <c r="C64" s="2">
        <v>3423.8333333333335</v>
      </c>
      <c r="D64" s="2">
        <v>1163.8956666666666</v>
      </c>
      <c r="E64" s="2">
        <v>1228.2583333333332</v>
      </c>
      <c r="F64" s="2">
        <v>518.87699999999995</v>
      </c>
      <c r="G64" s="2">
        <v>875.56566666666674</v>
      </c>
      <c r="H64" s="2">
        <v>9660.6706666666669</v>
      </c>
    </row>
    <row r="65" spans="1:8" x14ac:dyDescent="0.3">
      <c r="A65" s="1">
        <v>45657</v>
      </c>
      <c r="B65" s="2">
        <v>6254.2333333333336</v>
      </c>
      <c r="C65" s="2">
        <v>3437.2999999999997</v>
      </c>
      <c r="D65" s="2">
        <v>1168.7913333333333</v>
      </c>
      <c r="E65" s="2">
        <v>1248.684</v>
      </c>
      <c r="F65" s="2">
        <v>518.93966666666665</v>
      </c>
      <c r="G65" s="2">
        <v>890.30933333333326</v>
      </c>
      <c r="H65" s="2">
        <v>9671.5513333333347</v>
      </c>
    </row>
    <row r="66" spans="1:8" x14ac:dyDescent="0.3">
      <c r="A66" s="1">
        <v>45747</v>
      </c>
      <c r="B66" s="2">
        <v>6255.7666666666664</v>
      </c>
      <c r="C66" s="2">
        <v>3390.2333333333336</v>
      </c>
      <c r="D66" s="2">
        <v>1170.2669999999998</v>
      </c>
      <c r="E66" s="2">
        <v>1258.4653333333333</v>
      </c>
      <c r="F66" s="2">
        <v>517.18799999999999</v>
      </c>
      <c r="G66" s="2">
        <v>903.56066666666663</v>
      </c>
      <c r="H66" s="2">
        <v>9666.5823333333337</v>
      </c>
    </row>
    <row r="67" spans="1:8" x14ac:dyDescent="0.3">
      <c r="A67" s="1">
        <v>45838</v>
      </c>
      <c r="B67" s="2">
        <v>6262.3999999999987</v>
      </c>
      <c r="C67" s="2">
        <v>3404.1333333333337</v>
      </c>
      <c r="D67" s="2">
        <v>1156.1666666666667</v>
      </c>
      <c r="E67" s="2">
        <v>1250.2406666666666</v>
      </c>
      <c r="F67" s="2">
        <v>514.63099999999997</v>
      </c>
      <c r="G67" s="2">
        <v>891.43333333333339</v>
      </c>
      <c r="H67" s="2">
        <v>9668.8016666666681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CDF6-A064-43AC-B70D-D031E09D9BF4}">
  <dimension ref="A1:J241"/>
  <sheetViews>
    <sheetView workbookViewId="0">
      <selection activeCell="J2" sqref="J2:J55"/>
    </sheetView>
  </sheetViews>
  <sheetFormatPr baseColWidth="10" defaultColWidth="11.44140625" defaultRowHeight="14.4" x14ac:dyDescent="0.3"/>
  <cols>
    <col min="1" max="2" width="13.6640625" bestFit="1" customWidth="1"/>
  </cols>
  <sheetData>
    <row r="1" spans="1:10" x14ac:dyDescent="0.3">
      <c r="B1" s="20" t="s">
        <v>16</v>
      </c>
      <c r="C1" t="s">
        <v>17</v>
      </c>
    </row>
    <row r="2" spans="1:10" x14ac:dyDescent="0.3">
      <c r="A2" s="19">
        <v>38626</v>
      </c>
      <c r="B2" s="20">
        <v>8.6013861739999999</v>
      </c>
      <c r="G2" s="23">
        <v>2012</v>
      </c>
      <c r="H2" s="23" t="s">
        <v>18</v>
      </c>
      <c r="I2" s="21">
        <v>26.480708093333334</v>
      </c>
      <c r="J2">
        <f t="shared" ref="J2:J33" si="0">+(I2/$I$2)*100</f>
        <v>100</v>
      </c>
    </row>
    <row r="3" spans="1:10" x14ac:dyDescent="0.3">
      <c r="A3" s="17">
        <v>38657</v>
      </c>
      <c r="B3" s="20">
        <v>8.6969077660000007</v>
      </c>
      <c r="G3" s="23"/>
      <c r="H3" s="23" t="s">
        <v>19</v>
      </c>
      <c r="I3" s="22">
        <v>28.225272989999997</v>
      </c>
      <c r="J3">
        <f t="shared" si="0"/>
        <v>106.58805984537048</v>
      </c>
    </row>
    <row r="4" spans="1:10" x14ac:dyDescent="0.3">
      <c r="A4" s="19">
        <v>38687</v>
      </c>
      <c r="B4" s="20">
        <v>8.7317102070000008</v>
      </c>
      <c r="G4" s="23"/>
      <c r="H4" s="23" t="s">
        <v>20</v>
      </c>
      <c r="I4" s="21">
        <v>29.720543809999999</v>
      </c>
      <c r="J4">
        <f t="shared" si="0"/>
        <v>112.2347019771813</v>
      </c>
    </row>
    <row r="5" spans="1:10" x14ac:dyDescent="0.3">
      <c r="A5" s="17">
        <v>38718</v>
      </c>
      <c r="B5" s="20">
        <v>8.835377051</v>
      </c>
      <c r="G5" s="23"/>
      <c r="H5" s="23" t="s">
        <v>21</v>
      </c>
      <c r="I5" s="22">
        <v>31.091414409999999</v>
      </c>
      <c r="J5">
        <f t="shared" si="0"/>
        <v>117.41156732069197</v>
      </c>
    </row>
    <row r="6" spans="1:10" x14ac:dyDescent="0.3">
      <c r="A6" s="19">
        <v>38749</v>
      </c>
      <c r="B6" s="20">
        <v>8.8524080329999997</v>
      </c>
      <c r="G6" s="23">
        <v>2013</v>
      </c>
      <c r="H6" s="23" t="s">
        <v>18</v>
      </c>
      <c r="I6" s="21">
        <v>32.862883323333335</v>
      </c>
      <c r="J6">
        <f t="shared" si="0"/>
        <v>124.10122572064736</v>
      </c>
    </row>
    <row r="7" spans="1:10" x14ac:dyDescent="0.3">
      <c r="A7" s="17">
        <v>38777</v>
      </c>
      <c r="B7" s="20">
        <v>8.9249748239999995</v>
      </c>
      <c r="G7" s="23"/>
      <c r="H7" s="23" t="s">
        <v>19</v>
      </c>
      <c r="I7" s="22">
        <v>34.932024170000005</v>
      </c>
      <c r="J7">
        <f t="shared" si="0"/>
        <v>131.91499278221468</v>
      </c>
    </row>
    <row r="8" spans="1:10" x14ac:dyDescent="0.3">
      <c r="A8" s="19">
        <v>38808</v>
      </c>
      <c r="B8" s="20">
        <v>8.9753272909999993</v>
      </c>
      <c r="G8" s="23"/>
      <c r="H8" s="23" t="s">
        <v>20</v>
      </c>
      <c r="I8" s="21">
        <v>37.201093933333333</v>
      </c>
      <c r="J8">
        <f t="shared" si="0"/>
        <v>140.48375822208061</v>
      </c>
    </row>
    <row r="9" spans="1:10" x14ac:dyDescent="0.3">
      <c r="A9" s="17">
        <v>38838</v>
      </c>
      <c r="B9" s="20">
        <v>9.0056868669999997</v>
      </c>
      <c r="G9" s="23"/>
      <c r="H9" s="23" t="s">
        <v>21</v>
      </c>
      <c r="I9" s="22">
        <v>40.355034260000004</v>
      </c>
      <c r="J9">
        <f t="shared" si="0"/>
        <v>152.39409051210231</v>
      </c>
    </row>
    <row r="10" spans="1:10" x14ac:dyDescent="0.3">
      <c r="A10" s="19">
        <v>38869</v>
      </c>
      <c r="B10" s="20">
        <v>9.0523369470000006</v>
      </c>
      <c r="G10" s="23">
        <v>2014</v>
      </c>
      <c r="H10" s="23" t="s">
        <v>18</v>
      </c>
      <c r="I10" s="21">
        <v>46.034249549999998</v>
      </c>
      <c r="J10">
        <f t="shared" si="0"/>
        <v>173.84070466601071</v>
      </c>
    </row>
    <row r="11" spans="1:10" x14ac:dyDescent="0.3">
      <c r="A11" s="17">
        <v>38899</v>
      </c>
      <c r="B11" s="20">
        <v>9.0797346129999994</v>
      </c>
      <c r="G11" s="23"/>
      <c r="H11" s="23" t="s">
        <v>19</v>
      </c>
      <c r="I11" s="22">
        <v>50.446754736666662</v>
      </c>
      <c r="J11">
        <f t="shared" si="0"/>
        <v>190.50379830804792</v>
      </c>
    </row>
    <row r="12" spans="1:10" x14ac:dyDescent="0.3">
      <c r="A12" s="19">
        <v>38930</v>
      </c>
      <c r="B12" s="20">
        <v>9.0975060719999998</v>
      </c>
      <c r="G12" s="23"/>
      <c r="H12" s="23" t="s">
        <v>20</v>
      </c>
      <c r="I12" s="21">
        <v>53.920334499999996</v>
      </c>
      <c r="J12">
        <f t="shared" si="0"/>
        <v>203.62119589081055</v>
      </c>
    </row>
    <row r="13" spans="1:10" x14ac:dyDescent="0.3">
      <c r="A13" s="17">
        <v>38961</v>
      </c>
      <c r="B13" s="20">
        <v>9.1360109000000005</v>
      </c>
      <c r="G13" s="23"/>
      <c r="H13" s="23" t="s">
        <v>21</v>
      </c>
      <c r="I13" s="22">
        <v>56.995537390000003</v>
      </c>
      <c r="J13">
        <f t="shared" si="0"/>
        <v>215.23418931667067</v>
      </c>
    </row>
    <row r="14" spans="1:10" x14ac:dyDescent="0.3">
      <c r="A14" s="19">
        <v>38991</v>
      </c>
      <c r="B14" s="20">
        <v>9.1811800249999997</v>
      </c>
      <c r="G14" s="23">
        <v>2015</v>
      </c>
      <c r="H14" s="23" t="s">
        <v>18</v>
      </c>
      <c r="I14" s="21">
        <v>59.89450664333333</v>
      </c>
      <c r="J14">
        <f t="shared" si="0"/>
        <v>226.18166565724164</v>
      </c>
    </row>
    <row r="15" spans="1:10" x14ac:dyDescent="0.3">
      <c r="A15" s="17">
        <v>39022</v>
      </c>
      <c r="B15" s="20">
        <v>9.2767016170000005</v>
      </c>
      <c r="G15" s="23"/>
      <c r="H15" s="23" t="s">
        <v>19</v>
      </c>
      <c r="I15" s="22">
        <v>63.268368780000003</v>
      </c>
      <c r="J15">
        <f t="shared" si="0"/>
        <v>238.92249616968576</v>
      </c>
    </row>
    <row r="16" spans="1:10" x14ac:dyDescent="0.3">
      <c r="A16" s="19">
        <v>39052</v>
      </c>
      <c r="B16" s="20">
        <v>9.4277590189999998</v>
      </c>
      <c r="G16" s="23"/>
      <c r="H16" s="23" t="s">
        <v>20</v>
      </c>
      <c r="I16" s="21">
        <v>67.003830736666671</v>
      </c>
      <c r="J16">
        <f t="shared" si="0"/>
        <v>253.02884839977241</v>
      </c>
    </row>
    <row r="17" spans="1:10" x14ac:dyDescent="0.3">
      <c r="A17" s="17">
        <v>39083</v>
      </c>
      <c r="B17" s="20">
        <v>9.5329068180000007</v>
      </c>
      <c r="G17" s="23"/>
      <c r="H17" s="23" t="s">
        <v>21</v>
      </c>
      <c r="I17" s="22">
        <v>72.333047016666669</v>
      </c>
      <c r="J17">
        <f t="shared" si="0"/>
        <v>273.15374937000615</v>
      </c>
    </row>
    <row r="18" spans="1:10" x14ac:dyDescent="0.3">
      <c r="A18" s="19">
        <v>39114</v>
      </c>
      <c r="B18" s="20">
        <v>9.5958474020000004</v>
      </c>
      <c r="G18" s="23">
        <v>2016</v>
      </c>
      <c r="H18" s="23" t="s">
        <v>18</v>
      </c>
      <c r="I18" s="21">
        <v>81.518423080000005</v>
      </c>
      <c r="J18">
        <f t="shared" si="0"/>
        <v>307.84079788456535</v>
      </c>
    </row>
    <row r="19" spans="1:10" x14ac:dyDescent="0.3">
      <c r="A19" s="17">
        <v>39142</v>
      </c>
      <c r="B19" s="20">
        <v>9.6958118590000009</v>
      </c>
      <c r="G19" s="23"/>
      <c r="H19" s="23" t="s">
        <v>19</v>
      </c>
      <c r="I19" s="22">
        <v>89.559020990000008</v>
      </c>
      <c r="J19">
        <f t="shared" si="0"/>
        <v>338.20478166347442</v>
      </c>
    </row>
    <row r="20" spans="1:10" x14ac:dyDescent="0.3">
      <c r="A20" s="19">
        <v>39173</v>
      </c>
      <c r="B20" s="20">
        <v>9.9157336649999994</v>
      </c>
      <c r="G20" s="23"/>
      <c r="H20" s="23" t="s">
        <v>20</v>
      </c>
      <c r="I20" s="21">
        <v>94.653505913333333</v>
      </c>
      <c r="J20">
        <f t="shared" si="0"/>
        <v>357.44325861574254</v>
      </c>
    </row>
    <row r="21" spans="1:10" x14ac:dyDescent="0.3">
      <c r="A21" s="17">
        <v>39203</v>
      </c>
      <c r="B21" s="20">
        <v>10.122326879999999</v>
      </c>
      <c r="G21" s="23"/>
      <c r="H21" s="23" t="s">
        <v>21</v>
      </c>
      <c r="I21" s="22">
        <v>99.004304643333327</v>
      </c>
      <c r="J21">
        <f t="shared" si="0"/>
        <v>373.87332806352794</v>
      </c>
    </row>
    <row r="22" spans="1:10" x14ac:dyDescent="0.3">
      <c r="A22" s="19">
        <v>39234</v>
      </c>
      <c r="B22" s="20">
        <v>10.391120190000001</v>
      </c>
      <c r="G22" s="23">
        <v>2017</v>
      </c>
      <c r="H22" s="23" t="s">
        <v>18</v>
      </c>
      <c r="I22" s="21">
        <v>103.8</v>
      </c>
      <c r="J22">
        <f t="shared" si="0"/>
        <v>391.9834757973569</v>
      </c>
    </row>
    <row r="23" spans="1:10" x14ac:dyDescent="0.3">
      <c r="A23" s="17">
        <v>39264</v>
      </c>
      <c r="B23" s="20">
        <v>10.65621112</v>
      </c>
      <c r="G23" s="23"/>
      <c r="H23" s="23" t="s">
        <v>19</v>
      </c>
      <c r="I23" s="22">
        <v>110.43333333333334</v>
      </c>
      <c r="J23">
        <f t="shared" si="0"/>
        <v>417.03315841896068</v>
      </c>
    </row>
    <row r="24" spans="1:10" x14ac:dyDescent="0.3">
      <c r="A24" s="19">
        <v>39295</v>
      </c>
      <c r="B24" s="20">
        <v>11.01015935</v>
      </c>
      <c r="G24" s="23"/>
      <c r="H24" s="23" t="s">
        <v>20</v>
      </c>
      <c r="I24" s="21">
        <v>115.59999999999998</v>
      </c>
      <c r="J24">
        <f t="shared" si="0"/>
        <v>436.54421774734533</v>
      </c>
    </row>
    <row r="25" spans="1:10" x14ac:dyDescent="0.3">
      <c r="A25" s="17">
        <v>39326</v>
      </c>
      <c r="B25" s="20">
        <v>11.230821629999999</v>
      </c>
      <c r="G25" s="23"/>
      <c r="H25" s="23" t="s">
        <v>21</v>
      </c>
      <c r="I25" s="22">
        <v>121.73333333333333</v>
      </c>
      <c r="J25">
        <f t="shared" si="0"/>
        <v>459.70573333717005</v>
      </c>
    </row>
    <row r="26" spans="1:10" x14ac:dyDescent="0.3">
      <c r="A26" s="19">
        <v>39356</v>
      </c>
      <c r="B26" s="20">
        <v>11.391505240000001</v>
      </c>
      <c r="G26" s="23">
        <v>2018</v>
      </c>
      <c r="H26" s="23" t="s">
        <v>18</v>
      </c>
      <c r="I26" s="21">
        <v>130.06666666666669</v>
      </c>
      <c r="J26">
        <f t="shared" si="0"/>
        <v>491.17518386682309</v>
      </c>
    </row>
    <row r="27" spans="1:10" x14ac:dyDescent="0.3">
      <c r="A27" s="17">
        <v>39387</v>
      </c>
      <c r="B27" s="20">
        <v>11.345595640000001</v>
      </c>
      <c r="G27" s="23"/>
      <c r="H27" s="23" t="s">
        <v>19</v>
      </c>
      <c r="I27" s="22">
        <v>140.4</v>
      </c>
      <c r="J27">
        <f t="shared" si="0"/>
        <v>530.19730252359261</v>
      </c>
    </row>
    <row r="28" spans="1:10" x14ac:dyDescent="0.3">
      <c r="A28" s="19">
        <v>39417</v>
      </c>
      <c r="B28" s="20">
        <v>11.45666726</v>
      </c>
      <c r="G28" s="23"/>
      <c r="H28" s="23" t="s">
        <v>20</v>
      </c>
      <c r="I28" s="21">
        <v>156.53333333333333</v>
      </c>
      <c r="J28">
        <f t="shared" si="0"/>
        <v>591.12215874900062</v>
      </c>
    </row>
    <row r="29" spans="1:10" x14ac:dyDescent="0.3">
      <c r="A29" s="17">
        <v>39448</v>
      </c>
      <c r="B29" s="20">
        <v>11.6884367</v>
      </c>
      <c r="G29" s="23"/>
      <c r="H29" s="23" t="s">
        <v>21</v>
      </c>
      <c r="I29" s="22">
        <v>179.33333333333334</v>
      </c>
      <c r="J29">
        <f t="shared" si="0"/>
        <v>677.22257539813108</v>
      </c>
    </row>
    <row r="30" spans="1:10" x14ac:dyDescent="0.3">
      <c r="A30" s="19">
        <v>39479</v>
      </c>
      <c r="B30" s="20">
        <v>11.94982525</v>
      </c>
      <c r="G30" s="23">
        <v>2019</v>
      </c>
      <c r="H30" s="23" t="s">
        <v>18</v>
      </c>
      <c r="I30" s="21">
        <v>197.46666666666667</v>
      </c>
      <c r="J30">
        <f t="shared" si="0"/>
        <v>745.70009975065591</v>
      </c>
    </row>
    <row r="31" spans="1:10" x14ac:dyDescent="0.3">
      <c r="A31" s="17">
        <v>39508</v>
      </c>
      <c r="B31" s="20">
        <v>12.43557846</v>
      </c>
      <c r="G31" s="23"/>
      <c r="H31" s="23" t="s">
        <v>19</v>
      </c>
      <c r="I31" s="22">
        <v>219.4</v>
      </c>
      <c r="J31">
        <f t="shared" si="0"/>
        <v>828.5276935447024</v>
      </c>
    </row>
    <row r="32" spans="1:10" x14ac:dyDescent="0.3">
      <c r="A32" s="19">
        <v>39539</v>
      </c>
      <c r="B32" s="20">
        <v>12.807298149999999</v>
      </c>
      <c r="G32" s="23"/>
      <c r="H32" s="23" t="s">
        <v>20</v>
      </c>
      <c r="I32" s="21">
        <v>241.26666666666665</v>
      </c>
      <c r="J32">
        <f t="shared" si="0"/>
        <v>911.10353173451165</v>
      </c>
    </row>
    <row r="33" spans="1:10" x14ac:dyDescent="0.3">
      <c r="A33" s="17">
        <v>39569</v>
      </c>
      <c r="B33" s="20">
        <v>12.83913868</v>
      </c>
      <c r="G33" s="23"/>
      <c r="H33" s="23" t="s">
        <v>21</v>
      </c>
      <c r="I33" s="22">
        <v>272.89999999999998</v>
      </c>
      <c r="J33">
        <f t="shared" si="0"/>
        <v>1030.5615659450741</v>
      </c>
    </row>
    <row r="34" spans="1:10" x14ac:dyDescent="0.3">
      <c r="A34" s="19">
        <v>39600</v>
      </c>
      <c r="B34" s="20">
        <v>13.150139210000001</v>
      </c>
      <c r="G34" s="23">
        <v>2020</v>
      </c>
      <c r="H34" s="23" t="s">
        <v>18</v>
      </c>
      <c r="I34" s="21">
        <v>297.03333333333336</v>
      </c>
      <c r="J34">
        <f t="shared" ref="J34:J65" si="1">+(I34/$I$2)*100</f>
        <v>1121.697094678949</v>
      </c>
    </row>
    <row r="35" spans="1:10" x14ac:dyDescent="0.3">
      <c r="A35" s="17">
        <v>39630</v>
      </c>
      <c r="B35" s="20">
        <v>13.3345181</v>
      </c>
      <c r="G35" s="23"/>
      <c r="H35" s="23" t="s">
        <v>19</v>
      </c>
      <c r="I35" s="22">
        <v>315.66666666666669</v>
      </c>
      <c r="J35">
        <f t="shared" si="1"/>
        <v>1192.062786063253</v>
      </c>
    </row>
    <row r="36" spans="1:10" x14ac:dyDescent="0.3">
      <c r="A36" s="19">
        <v>39661</v>
      </c>
      <c r="B36" s="20">
        <v>13.44336828</v>
      </c>
      <c r="G36" s="23"/>
      <c r="H36" s="23" t="s">
        <v>20</v>
      </c>
      <c r="I36" s="21">
        <v>337.3</v>
      </c>
      <c r="J36">
        <f t="shared" si="1"/>
        <v>1273.7574796382321</v>
      </c>
    </row>
    <row r="37" spans="1:10" x14ac:dyDescent="0.3">
      <c r="A37" s="17">
        <v>39692</v>
      </c>
      <c r="B37" s="20">
        <v>13.58850187</v>
      </c>
      <c r="G37" s="23"/>
      <c r="H37" s="23" t="s">
        <v>21</v>
      </c>
      <c r="I37" s="22">
        <v>372.2</v>
      </c>
      <c r="J37">
        <f t="shared" si="1"/>
        <v>1405.5515384564185</v>
      </c>
    </row>
    <row r="38" spans="1:10" x14ac:dyDescent="0.3">
      <c r="A38" s="19">
        <v>39722</v>
      </c>
      <c r="B38" s="20">
        <v>13.66773295</v>
      </c>
      <c r="G38" s="23">
        <v>2021</v>
      </c>
      <c r="H38" s="23" t="s">
        <v>18</v>
      </c>
      <c r="I38" s="21">
        <v>417.76666666666665</v>
      </c>
      <c r="J38">
        <f t="shared" si="1"/>
        <v>1577.6264939525606</v>
      </c>
    </row>
    <row r="39" spans="1:10" x14ac:dyDescent="0.3">
      <c r="A39" s="17">
        <v>39753</v>
      </c>
      <c r="B39" s="20">
        <v>13.75510929</v>
      </c>
      <c r="G39" s="23"/>
      <c r="H39" s="23" t="s">
        <v>19</v>
      </c>
      <c r="I39" s="22">
        <v>468.66666666666669</v>
      </c>
      <c r="J39">
        <f t="shared" si="1"/>
        <v>1769.8418977876809</v>
      </c>
    </row>
    <row r="40" spans="1:10" x14ac:dyDescent="0.3">
      <c r="A40" s="19">
        <v>39783</v>
      </c>
      <c r="B40" s="20">
        <v>13.81656892</v>
      </c>
      <c r="G40" s="23"/>
      <c r="H40" s="23" t="s">
        <v>20</v>
      </c>
      <c r="I40" s="21">
        <v>512.33333333333337</v>
      </c>
      <c r="J40">
        <f t="shared" si="1"/>
        <v>1934.7418185630622</v>
      </c>
    </row>
    <row r="41" spans="1:10" x14ac:dyDescent="0.3">
      <c r="A41" s="17">
        <v>39814</v>
      </c>
      <c r="B41" s="20">
        <v>13.97651205</v>
      </c>
      <c r="G41" s="23"/>
      <c r="H41" s="23" t="s">
        <v>21</v>
      </c>
      <c r="I41" s="22">
        <v>563.5</v>
      </c>
      <c r="J41">
        <f t="shared" si="1"/>
        <v>2127.9642448151312</v>
      </c>
    </row>
    <row r="42" spans="1:10" x14ac:dyDescent="0.3">
      <c r="A42" s="19">
        <v>39845</v>
      </c>
      <c r="B42" s="20">
        <v>13.975031100000001</v>
      </c>
      <c r="G42" s="23">
        <v>2022</v>
      </c>
      <c r="H42" s="23" t="s">
        <v>18</v>
      </c>
      <c r="I42" s="21">
        <v>638.16666666666663</v>
      </c>
      <c r="J42">
        <f t="shared" si="1"/>
        <v>2409.930521560821</v>
      </c>
    </row>
    <row r="43" spans="1:10" x14ac:dyDescent="0.3">
      <c r="A43" s="17">
        <v>39873</v>
      </c>
      <c r="B43" s="20">
        <v>14.30158166</v>
      </c>
      <c r="G43" s="23"/>
      <c r="H43" s="23" t="s">
        <v>19</v>
      </c>
      <c r="I43" s="22">
        <v>754.33333333333337</v>
      </c>
      <c r="J43">
        <f t="shared" si="1"/>
        <v>2848.6146619441834</v>
      </c>
    </row>
    <row r="44" spans="1:10" x14ac:dyDescent="0.3">
      <c r="A44" s="19">
        <v>39904</v>
      </c>
      <c r="B44" s="20">
        <v>14.56222973</v>
      </c>
      <c r="G44" s="23"/>
      <c r="H44" s="23" t="s">
        <v>20</v>
      </c>
      <c r="I44" s="21">
        <v>910.06666666666661</v>
      </c>
      <c r="J44">
        <f t="shared" si="1"/>
        <v>3436.7157534423368</v>
      </c>
    </row>
    <row r="45" spans="1:10" x14ac:dyDescent="0.3">
      <c r="A45" s="17">
        <v>39934</v>
      </c>
      <c r="B45" s="20">
        <v>14.688110890000001</v>
      </c>
      <c r="G45" s="23"/>
      <c r="H45" s="23" t="s">
        <v>21</v>
      </c>
      <c r="I45" s="22">
        <v>1080.8666666666666</v>
      </c>
      <c r="J45">
        <f t="shared" si="1"/>
        <v>4081.7136114981031</v>
      </c>
    </row>
    <row r="46" spans="1:10" x14ac:dyDescent="0.3">
      <c r="A46" s="19">
        <v>39965</v>
      </c>
      <c r="B46" s="20">
        <v>14.76586103</v>
      </c>
      <c r="G46" s="23">
        <v>2023</v>
      </c>
      <c r="H46" s="23" t="s">
        <v>18</v>
      </c>
      <c r="I46" s="21">
        <v>1288.9666666666665</v>
      </c>
      <c r="J46">
        <f t="shared" si="1"/>
        <v>4867.5687301245962</v>
      </c>
    </row>
    <row r="47" spans="1:10" x14ac:dyDescent="0.3">
      <c r="A47" s="17">
        <v>39995</v>
      </c>
      <c r="B47" s="20">
        <v>14.913956519999999</v>
      </c>
      <c r="G47" s="23"/>
      <c r="H47" s="23" t="s">
        <v>19</v>
      </c>
      <c r="I47" s="22">
        <v>1606.8</v>
      </c>
      <c r="J47">
        <f t="shared" si="1"/>
        <v>6067.8135733255594</v>
      </c>
    </row>
    <row r="48" spans="1:10" x14ac:dyDescent="0.3">
      <c r="A48" s="19">
        <v>40026</v>
      </c>
      <c r="B48" s="20">
        <v>15.19089509</v>
      </c>
      <c r="G48" s="23"/>
      <c r="H48" s="23" t="s">
        <v>20</v>
      </c>
      <c r="I48" s="21">
        <v>2055.7666666666664</v>
      </c>
      <c r="J48">
        <f t="shared" si="1"/>
        <v>7763.2616900611392</v>
      </c>
    </row>
    <row r="49" spans="1:10" x14ac:dyDescent="0.3">
      <c r="A49" s="17">
        <v>40057</v>
      </c>
      <c r="B49" s="20">
        <v>15.42488597</v>
      </c>
      <c r="G49" s="23"/>
      <c r="H49" s="23" t="s">
        <v>21</v>
      </c>
      <c r="I49" s="22">
        <v>2948.5333333333328</v>
      </c>
      <c r="J49">
        <f t="shared" si="1"/>
        <v>11134.646864203916</v>
      </c>
    </row>
    <row r="50" spans="1:10" x14ac:dyDescent="0.3">
      <c r="A50" s="19">
        <v>40087</v>
      </c>
      <c r="B50" s="20">
        <v>15.68109117</v>
      </c>
      <c r="G50" s="23">
        <v>2024</v>
      </c>
      <c r="H50" s="23" t="s">
        <v>18</v>
      </c>
      <c r="I50" s="21">
        <v>4814.8</v>
      </c>
      <c r="J50">
        <f t="shared" si="1"/>
        <v>18182.293249220751</v>
      </c>
    </row>
    <row r="51" spans="1:10" x14ac:dyDescent="0.3">
      <c r="A51" s="17">
        <v>40118</v>
      </c>
      <c r="B51" s="20">
        <v>15.86102719</v>
      </c>
      <c r="G51" s="23"/>
      <c r="H51" s="23" t="s">
        <v>19</v>
      </c>
      <c r="I51" s="22">
        <v>6085.2</v>
      </c>
      <c r="J51">
        <f t="shared" si="1"/>
        <v>22979.74804356528</v>
      </c>
    </row>
    <row r="52" spans="1:10" x14ac:dyDescent="0.3">
      <c r="A52" s="19">
        <v>40148</v>
      </c>
      <c r="B52" s="20">
        <v>16.368994730000001</v>
      </c>
      <c r="G52" s="23"/>
      <c r="H52" s="23" t="s">
        <v>20</v>
      </c>
      <c r="I52" s="21">
        <v>6871.0999999999995</v>
      </c>
      <c r="J52">
        <f t="shared" si="1"/>
        <v>25947.568984115787</v>
      </c>
    </row>
    <row r="53" spans="1:10" x14ac:dyDescent="0.3">
      <c r="A53" s="17">
        <v>40179</v>
      </c>
      <c r="B53" s="20">
        <v>16.73182868</v>
      </c>
      <c r="G53" s="23"/>
      <c r="H53" s="23" t="s">
        <v>21</v>
      </c>
      <c r="I53" s="22">
        <v>7499.8</v>
      </c>
      <c r="J53">
        <f t="shared" si="1"/>
        <v>28321.750209874925</v>
      </c>
    </row>
    <row r="54" spans="1:10" x14ac:dyDescent="0.3">
      <c r="A54" s="19">
        <v>40210</v>
      </c>
      <c r="B54" s="20">
        <v>17.460458500000001</v>
      </c>
      <c r="G54" s="23">
        <v>2025</v>
      </c>
      <c r="H54" s="23" t="s">
        <v>18</v>
      </c>
      <c r="I54" s="21">
        <v>8090.1333333333341</v>
      </c>
      <c r="J54">
        <f t="shared" si="1"/>
        <v>30551.046085395541</v>
      </c>
    </row>
    <row r="55" spans="1:10" x14ac:dyDescent="0.3">
      <c r="A55" s="17">
        <v>40238</v>
      </c>
      <c r="B55" s="20">
        <v>17.919554529999999</v>
      </c>
      <c r="G55" s="23"/>
      <c r="H55" s="23" t="s">
        <v>19</v>
      </c>
      <c r="I55" s="22">
        <v>8718.5666666666657</v>
      </c>
      <c r="J55">
        <f t="shared" si="1"/>
        <v>32924.220288737721</v>
      </c>
    </row>
    <row r="56" spans="1:10" x14ac:dyDescent="0.3">
      <c r="A56" s="19">
        <v>40269</v>
      </c>
      <c r="B56" s="20">
        <v>18.164652570000001</v>
      </c>
    </row>
    <row r="57" spans="1:10" x14ac:dyDescent="0.3">
      <c r="A57" s="17">
        <v>40299</v>
      </c>
      <c r="B57" s="20">
        <v>18.451957820000001</v>
      </c>
    </row>
    <row r="58" spans="1:10" x14ac:dyDescent="0.3">
      <c r="A58" s="19">
        <v>40330</v>
      </c>
      <c r="B58" s="20">
        <v>18.652627209999999</v>
      </c>
    </row>
    <row r="59" spans="1:10" x14ac:dyDescent="0.3">
      <c r="A59" s="17">
        <v>40360</v>
      </c>
      <c r="B59" s="20">
        <v>18.925863400000001</v>
      </c>
    </row>
    <row r="60" spans="1:10" x14ac:dyDescent="0.3">
      <c r="A60" s="19">
        <v>40391</v>
      </c>
      <c r="B60" s="20">
        <v>19.126532789999999</v>
      </c>
    </row>
    <row r="61" spans="1:10" x14ac:dyDescent="0.3">
      <c r="A61" s="17">
        <v>40422</v>
      </c>
      <c r="B61" s="20">
        <v>19.430128549999999</v>
      </c>
    </row>
    <row r="62" spans="1:10" x14ac:dyDescent="0.3">
      <c r="A62" s="19">
        <v>40452</v>
      </c>
      <c r="B62" s="20">
        <v>20.064717730000002</v>
      </c>
    </row>
    <row r="63" spans="1:10" x14ac:dyDescent="0.3">
      <c r="A63" s="17">
        <v>40483</v>
      </c>
      <c r="B63" s="20">
        <v>20.445323139999999</v>
      </c>
    </row>
    <row r="64" spans="1:10" x14ac:dyDescent="0.3">
      <c r="A64" s="19">
        <v>40513</v>
      </c>
      <c r="B64" s="20">
        <v>20.79334755</v>
      </c>
    </row>
    <row r="65" spans="1:10" x14ac:dyDescent="0.3">
      <c r="A65" s="17">
        <v>40544</v>
      </c>
      <c r="B65" s="20">
        <v>21.022155089999998</v>
      </c>
    </row>
    <row r="66" spans="1:10" x14ac:dyDescent="0.3">
      <c r="A66" s="19">
        <v>40575</v>
      </c>
      <c r="B66" s="20">
        <v>21.248741190000001</v>
      </c>
    </row>
    <row r="67" spans="1:10" x14ac:dyDescent="0.3">
      <c r="A67" s="17">
        <v>40603</v>
      </c>
      <c r="B67" s="20">
        <v>21.813725489999999</v>
      </c>
    </row>
    <row r="68" spans="1:10" x14ac:dyDescent="0.3">
      <c r="A68" s="19">
        <v>40634</v>
      </c>
      <c r="B68" s="20">
        <v>22.380190750000001</v>
      </c>
    </row>
    <row r="69" spans="1:10" x14ac:dyDescent="0.3">
      <c r="A69" s="17">
        <v>40664</v>
      </c>
      <c r="B69" s="20">
        <v>22.769681890000001</v>
      </c>
    </row>
    <row r="70" spans="1:10" x14ac:dyDescent="0.3">
      <c r="A70" s="19">
        <v>40695</v>
      </c>
      <c r="B70" s="20">
        <v>23.112522949999999</v>
      </c>
    </row>
    <row r="71" spans="1:10" x14ac:dyDescent="0.3">
      <c r="A71" s="17">
        <v>40725</v>
      </c>
      <c r="B71" s="20">
        <v>23.51460222</v>
      </c>
    </row>
    <row r="72" spans="1:10" x14ac:dyDescent="0.3">
      <c r="A72" s="19">
        <v>40756</v>
      </c>
      <c r="B72" s="20">
        <v>24.086250809999999</v>
      </c>
    </row>
    <row r="73" spans="1:10" x14ac:dyDescent="0.3">
      <c r="A73" s="17">
        <v>40787</v>
      </c>
      <c r="B73" s="20">
        <v>24.54830875</v>
      </c>
    </row>
    <row r="74" spans="1:10" x14ac:dyDescent="0.3">
      <c r="A74" s="19">
        <v>40817</v>
      </c>
      <c r="B74" s="20">
        <v>24.818583019999998</v>
      </c>
    </row>
    <row r="75" spans="1:10" x14ac:dyDescent="0.3">
      <c r="A75" s="17">
        <v>40848</v>
      </c>
      <c r="B75" s="20">
        <v>25.163645519999999</v>
      </c>
    </row>
    <row r="76" spans="1:10" x14ac:dyDescent="0.3">
      <c r="A76" s="19">
        <v>40878</v>
      </c>
      <c r="B76" s="20">
        <v>25.633108230000001</v>
      </c>
    </row>
    <row r="77" spans="1:10" x14ac:dyDescent="0.3">
      <c r="A77" s="17">
        <v>40909</v>
      </c>
      <c r="B77" s="20">
        <v>25.92929921</v>
      </c>
    </row>
    <row r="78" spans="1:10" x14ac:dyDescent="0.3">
      <c r="A78" s="19">
        <v>40940</v>
      </c>
      <c r="B78" s="20">
        <v>26.310645099999999</v>
      </c>
    </row>
    <row r="79" spans="1:10" x14ac:dyDescent="0.3">
      <c r="A79" s="17">
        <v>40969</v>
      </c>
      <c r="B79" s="20">
        <v>27.20217997</v>
      </c>
      <c r="C79">
        <f>+AVERAGE(B77:B79)</f>
        <v>26.480708093333334</v>
      </c>
      <c r="J79" s="21">
        <v>26.480708093333334</v>
      </c>
    </row>
    <row r="80" spans="1:10" x14ac:dyDescent="0.3">
      <c r="A80" s="19">
        <v>41000</v>
      </c>
      <c r="B80" s="20">
        <v>27.7464309</v>
      </c>
      <c r="J80" s="22">
        <v>28.225272989999997</v>
      </c>
    </row>
    <row r="81" spans="1:10" x14ac:dyDescent="0.3">
      <c r="A81" s="17">
        <v>41030</v>
      </c>
      <c r="B81" s="20">
        <v>28.275872280000002</v>
      </c>
      <c r="J81" s="21">
        <v>29.720543809999999</v>
      </c>
    </row>
    <row r="82" spans="1:10" x14ac:dyDescent="0.3">
      <c r="A82" s="19">
        <v>41061</v>
      </c>
      <c r="B82" s="20">
        <v>28.65351579</v>
      </c>
      <c r="C82">
        <f>+AVERAGE(B80:B82)</f>
        <v>28.225272989999997</v>
      </c>
      <c r="J82" s="22">
        <v>31.091414409999999</v>
      </c>
    </row>
    <row r="83" spans="1:10" x14ac:dyDescent="0.3">
      <c r="A83" s="17">
        <v>41091</v>
      </c>
      <c r="B83" s="20">
        <v>29.365114630000001</v>
      </c>
      <c r="J83" s="21">
        <v>32.862883323333335</v>
      </c>
    </row>
    <row r="84" spans="1:10" x14ac:dyDescent="0.3">
      <c r="A84" s="19">
        <v>41122</v>
      </c>
      <c r="B84" s="20">
        <v>29.665008</v>
      </c>
      <c r="J84" s="22">
        <v>34.932024170000005</v>
      </c>
    </row>
    <row r="85" spans="1:10" x14ac:dyDescent="0.3">
      <c r="A85" s="17">
        <v>41153</v>
      </c>
      <c r="B85" s="20">
        <v>30.131508799999999</v>
      </c>
      <c r="C85">
        <f>+AVERAGE(B83:B85)</f>
        <v>29.720543809999999</v>
      </c>
      <c r="J85" s="21">
        <v>37.201093933333333</v>
      </c>
    </row>
    <row r="86" spans="1:10" x14ac:dyDescent="0.3">
      <c r="A86" s="19">
        <v>41183</v>
      </c>
      <c r="B86" s="20">
        <v>30.58171909</v>
      </c>
      <c r="J86" s="22">
        <v>40.355034260000004</v>
      </c>
    </row>
    <row r="87" spans="1:10" x14ac:dyDescent="0.3">
      <c r="A87" s="17">
        <v>41214</v>
      </c>
      <c r="B87" s="20">
        <v>31.162253419999999</v>
      </c>
      <c r="J87" s="21">
        <v>46.034249549999998</v>
      </c>
    </row>
    <row r="88" spans="1:10" x14ac:dyDescent="0.3">
      <c r="A88" s="19">
        <v>41244</v>
      </c>
      <c r="B88" s="20">
        <v>31.530270720000001</v>
      </c>
      <c r="C88">
        <f>+AVERAGE(B86:B88)</f>
        <v>31.091414409999999</v>
      </c>
      <c r="J88" s="22">
        <v>50.446754736666662</v>
      </c>
    </row>
    <row r="89" spans="1:10" x14ac:dyDescent="0.3">
      <c r="A89" s="17">
        <v>41275</v>
      </c>
      <c r="B89" s="20">
        <v>32.056009719999999</v>
      </c>
      <c r="J89" s="21">
        <v>53.920334499999996</v>
      </c>
    </row>
    <row r="90" spans="1:10" x14ac:dyDescent="0.3">
      <c r="A90" s="19">
        <v>41306</v>
      </c>
      <c r="B90" s="20">
        <v>32.859427760000003</v>
      </c>
      <c r="J90" s="22">
        <v>56.995537390000003</v>
      </c>
    </row>
    <row r="91" spans="1:10" x14ac:dyDescent="0.3">
      <c r="A91" s="17">
        <v>41334</v>
      </c>
      <c r="B91" s="20">
        <v>33.673212489999997</v>
      </c>
      <c r="C91">
        <f>+AVERAGE(B89:B91)</f>
        <v>32.862883323333335</v>
      </c>
      <c r="J91" s="21">
        <v>59.89450664333333</v>
      </c>
    </row>
    <row r="92" spans="1:10" x14ac:dyDescent="0.3">
      <c r="A92" s="19">
        <v>41365</v>
      </c>
      <c r="B92" s="20">
        <v>34.223387240000001</v>
      </c>
      <c r="J92" s="22">
        <v>63.268368780000003</v>
      </c>
    </row>
    <row r="93" spans="1:10" x14ac:dyDescent="0.3">
      <c r="A93" s="17">
        <v>41395</v>
      </c>
      <c r="B93" s="20">
        <v>34.877228840000001</v>
      </c>
      <c r="J93" s="21">
        <v>67.003830736666671</v>
      </c>
    </row>
    <row r="94" spans="1:10" x14ac:dyDescent="0.3">
      <c r="A94" s="19">
        <v>41426</v>
      </c>
      <c r="B94" s="20">
        <v>35.69545643</v>
      </c>
      <c r="C94">
        <f>+AVERAGE(B92:B94)</f>
        <v>34.932024170000005</v>
      </c>
      <c r="J94" s="22">
        <v>72.333047016666669</v>
      </c>
    </row>
    <row r="95" spans="1:10" x14ac:dyDescent="0.3">
      <c r="A95" s="17">
        <v>41456</v>
      </c>
      <c r="B95" s="20">
        <v>36.503317340000002</v>
      </c>
      <c r="J95" s="21">
        <v>81.518423080000005</v>
      </c>
    </row>
    <row r="96" spans="1:10" x14ac:dyDescent="0.3">
      <c r="A96" s="19">
        <v>41487</v>
      </c>
      <c r="B96" s="20">
        <v>37.19640424</v>
      </c>
      <c r="J96" s="22">
        <v>89.559020990000008</v>
      </c>
    </row>
    <row r="97" spans="1:10" x14ac:dyDescent="0.3">
      <c r="A97" s="17">
        <v>41518</v>
      </c>
      <c r="B97" s="20">
        <v>37.903560220000003</v>
      </c>
      <c r="C97">
        <f>+AVERAGE(B95:B97)</f>
        <v>37.201093933333333</v>
      </c>
      <c r="J97" s="21">
        <v>94.653505913333333</v>
      </c>
    </row>
    <row r="98" spans="1:10" x14ac:dyDescent="0.3">
      <c r="A98" s="19">
        <v>41548</v>
      </c>
      <c r="B98" s="20">
        <v>39.171998100000003</v>
      </c>
      <c r="J98" s="22">
        <v>99.004304643333327</v>
      </c>
    </row>
    <row r="99" spans="1:10" x14ac:dyDescent="0.3">
      <c r="A99" s="17">
        <v>41579</v>
      </c>
      <c r="B99" s="20">
        <v>40.29085955</v>
      </c>
      <c r="J99" s="21">
        <v>103.8</v>
      </c>
    </row>
    <row r="100" spans="1:10" x14ac:dyDescent="0.3">
      <c r="A100" s="19">
        <v>41609</v>
      </c>
      <c r="B100" s="20">
        <v>41.60224513</v>
      </c>
      <c r="C100">
        <f>+AVERAGE(B98:B100)</f>
        <v>40.355034260000004</v>
      </c>
      <c r="J100" s="22">
        <v>110.43333333333334</v>
      </c>
    </row>
    <row r="101" spans="1:10" x14ac:dyDescent="0.3">
      <c r="A101" s="17">
        <v>41640</v>
      </c>
      <c r="B101" s="20">
        <v>43.343107639999999</v>
      </c>
      <c r="J101" s="21">
        <v>115.59999999999998</v>
      </c>
    </row>
    <row r="102" spans="1:10" x14ac:dyDescent="0.3">
      <c r="A102" s="19">
        <v>41671</v>
      </c>
      <c r="B102" s="20">
        <v>46.451632009999997</v>
      </c>
      <c r="J102" s="22">
        <v>121.73333333333333</v>
      </c>
    </row>
    <row r="103" spans="1:10" x14ac:dyDescent="0.3">
      <c r="A103" s="17">
        <v>41699</v>
      </c>
      <c r="B103" s="20">
        <v>48.308008999999998</v>
      </c>
      <c r="C103">
        <f>+AVERAGE(B101:B103)</f>
        <v>46.034249549999998</v>
      </c>
      <c r="J103" s="21">
        <v>130.06666666666669</v>
      </c>
    </row>
    <row r="104" spans="1:10" x14ac:dyDescent="0.3">
      <c r="A104" s="19">
        <v>41730</v>
      </c>
      <c r="B104" s="20">
        <v>49.304691669999997</v>
      </c>
      <c r="J104" s="22">
        <v>140.4</v>
      </c>
    </row>
    <row r="105" spans="1:10" x14ac:dyDescent="0.3">
      <c r="A105" s="17">
        <v>41760</v>
      </c>
      <c r="B105" s="20">
        <v>50.56276287</v>
      </c>
      <c r="J105" s="21">
        <v>156.53333333333333</v>
      </c>
    </row>
    <row r="106" spans="1:10" x14ac:dyDescent="0.3">
      <c r="A106" s="19">
        <v>41791</v>
      </c>
      <c r="B106" s="20">
        <v>51.472809669999997</v>
      </c>
      <c r="C106">
        <f>+AVERAGE(B104:B106)</f>
        <v>50.446754736666662</v>
      </c>
      <c r="J106" s="22">
        <v>179.33333333333334</v>
      </c>
    </row>
    <row r="107" spans="1:10" x14ac:dyDescent="0.3">
      <c r="A107" s="17">
        <v>41821</v>
      </c>
      <c r="B107" s="20">
        <v>52.485782829999998</v>
      </c>
      <c r="J107" s="21">
        <v>197.46666666666667</v>
      </c>
    </row>
    <row r="108" spans="1:10" x14ac:dyDescent="0.3">
      <c r="A108" s="19">
        <v>41852</v>
      </c>
      <c r="B108" s="20">
        <v>53.805313669999997</v>
      </c>
      <c r="J108" s="22">
        <v>219.4</v>
      </c>
    </row>
    <row r="109" spans="1:10" x14ac:dyDescent="0.3">
      <c r="A109" s="17">
        <v>41883</v>
      </c>
      <c r="B109" s="20">
        <v>55.469906999999999</v>
      </c>
      <c r="C109">
        <f>+AVERAGE(B107:B109)</f>
        <v>53.920334499999996</v>
      </c>
      <c r="J109" s="21">
        <v>241.26666666666665</v>
      </c>
    </row>
    <row r="110" spans="1:10" x14ac:dyDescent="0.3">
      <c r="A110" s="19">
        <v>41913</v>
      </c>
      <c r="B110" s="20">
        <v>56.16595581</v>
      </c>
      <c r="J110" s="22">
        <v>272.89999999999998</v>
      </c>
    </row>
    <row r="111" spans="1:10" x14ac:dyDescent="0.3">
      <c r="A111" s="17">
        <v>41944</v>
      </c>
      <c r="B111" s="20">
        <v>56.990107219999999</v>
      </c>
      <c r="J111" s="21">
        <v>297.03333333333336</v>
      </c>
    </row>
    <row r="112" spans="1:10" x14ac:dyDescent="0.3">
      <c r="A112" s="19">
        <v>41974</v>
      </c>
      <c r="B112" s="20">
        <v>57.830549140000002</v>
      </c>
      <c r="C112">
        <f>+AVERAGE(B110:B112)</f>
        <v>56.995537390000003</v>
      </c>
      <c r="J112" s="22">
        <v>315.66666666666669</v>
      </c>
    </row>
    <row r="113" spans="1:10" x14ac:dyDescent="0.3">
      <c r="A113" s="17">
        <v>42005</v>
      </c>
      <c r="B113" s="20">
        <v>58.700610150000003</v>
      </c>
      <c r="J113" s="21">
        <v>337.3</v>
      </c>
    </row>
    <row r="114" spans="1:10" x14ac:dyDescent="0.3">
      <c r="A114" s="19">
        <v>42036</v>
      </c>
      <c r="B114" s="20">
        <v>59.875747879999999</v>
      </c>
      <c r="J114" s="22">
        <v>372.2</v>
      </c>
    </row>
    <row r="115" spans="1:10" x14ac:dyDescent="0.3">
      <c r="A115" s="17">
        <v>42064</v>
      </c>
      <c r="B115" s="20">
        <v>61.107161900000001</v>
      </c>
      <c r="C115">
        <f>+AVERAGE(B113:B115)</f>
        <v>59.89450664333333</v>
      </c>
      <c r="J115" s="21">
        <v>417.76666666666665</v>
      </c>
    </row>
    <row r="116" spans="1:10" x14ac:dyDescent="0.3">
      <c r="A116" s="19">
        <v>42095</v>
      </c>
      <c r="B116" s="20">
        <v>62.22158048</v>
      </c>
      <c r="J116" s="22">
        <v>468.66666666666669</v>
      </c>
    </row>
    <row r="117" spans="1:10" x14ac:dyDescent="0.3">
      <c r="A117" s="17">
        <v>42125</v>
      </c>
      <c r="B117" s="20">
        <v>63.439665900000001</v>
      </c>
      <c r="J117" s="21">
        <v>512.33333333333337</v>
      </c>
    </row>
    <row r="118" spans="1:10" x14ac:dyDescent="0.3">
      <c r="A118" s="19">
        <v>42156</v>
      </c>
      <c r="B118" s="20">
        <v>64.14385996</v>
      </c>
      <c r="C118">
        <f>+AVERAGE(B116:B118)</f>
        <v>63.268368780000003</v>
      </c>
      <c r="J118" s="22">
        <v>563.5</v>
      </c>
    </row>
    <row r="119" spans="1:10" x14ac:dyDescent="0.3">
      <c r="A119" s="17">
        <v>42186</v>
      </c>
      <c r="B119" s="20">
        <v>65.621852970000006</v>
      </c>
      <c r="J119" s="21">
        <v>638.16666666666663</v>
      </c>
    </row>
    <row r="120" spans="1:10" x14ac:dyDescent="0.3">
      <c r="A120" s="19">
        <v>42217</v>
      </c>
      <c r="B120" s="20">
        <v>66.878443219999994</v>
      </c>
      <c r="J120" s="22">
        <v>754.33333333333337</v>
      </c>
    </row>
    <row r="121" spans="1:10" x14ac:dyDescent="0.3">
      <c r="A121" s="17">
        <v>42248</v>
      </c>
      <c r="B121" s="20">
        <v>68.51119602</v>
      </c>
      <c r="C121">
        <f>+AVERAGE(B119:B121)</f>
        <v>67.003830736666671</v>
      </c>
      <c r="J121" s="21">
        <v>910.06666666666661</v>
      </c>
    </row>
    <row r="122" spans="1:10" x14ac:dyDescent="0.3">
      <c r="A122" s="19">
        <v>42278</v>
      </c>
      <c r="B122" s="20">
        <v>69.459007170000007</v>
      </c>
      <c r="J122" s="22">
        <v>1080.8666666666666</v>
      </c>
    </row>
    <row r="123" spans="1:10" x14ac:dyDescent="0.3">
      <c r="A123" s="17">
        <v>42309</v>
      </c>
      <c r="B123" s="20">
        <v>71.453112970000006</v>
      </c>
      <c r="J123" s="21">
        <v>1288.9666666666665</v>
      </c>
    </row>
    <row r="124" spans="1:10" x14ac:dyDescent="0.3">
      <c r="A124" s="19">
        <v>42339</v>
      </c>
      <c r="B124" s="20">
        <v>76.087020910000007</v>
      </c>
      <c r="C124">
        <f>+AVERAGE(B122:B124)</f>
        <v>72.333047016666669</v>
      </c>
      <c r="J124" s="22">
        <v>1606.8</v>
      </c>
    </row>
    <row r="125" spans="1:10" x14ac:dyDescent="0.3">
      <c r="A125" s="17">
        <v>42370</v>
      </c>
      <c r="B125" s="20">
        <v>79.276997809999997</v>
      </c>
      <c r="J125" s="21">
        <v>2055.7666666666664</v>
      </c>
    </row>
    <row r="126" spans="1:10" x14ac:dyDescent="0.3">
      <c r="A126" s="19">
        <v>42401</v>
      </c>
      <c r="B126" s="20">
        <v>81.427344349999998</v>
      </c>
      <c r="J126" s="22">
        <v>2948.5333333333328</v>
      </c>
    </row>
    <row r="127" spans="1:10" x14ac:dyDescent="0.3">
      <c r="A127" s="17">
        <v>42430</v>
      </c>
      <c r="B127" s="20">
        <v>83.850927080000005</v>
      </c>
      <c r="C127">
        <f>+AVERAGE(B125:B127)</f>
        <v>81.518423080000005</v>
      </c>
      <c r="J127" s="21">
        <v>4814.8</v>
      </c>
    </row>
    <row r="128" spans="1:10" x14ac:dyDescent="0.3">
      <c r="A128" s="19">
        <v>42461</v>
      </c>
      <c r="B128" s="20">
        <v>86.69732243</v>
      </c>
      <c r="J128" s="22">
        <v>6085.2</v>
      </c>
    </row>
    <row r="129" spans="1:10" x14ac:dyDescent="0.3">
      <c r="A129" s="17">
        <v>42491</v>
      </c>
      <c r="B129" s="20">
        <v>90.327883420000006</v>
      </c>
      <c r="J129" s="21">
        <v>6871.0999999999995</v>
      </c>
    </row>
    <row r="130" spans="1:10" x14ac:dyDescent="0.3">
      <c r="A130" s="19">
        <v>42522</v>
      </c>
      <c r="B130" s="20">
        <v>91.651857120000003</v>
      </c>
      <c r="C130">
        <f>+AVERAGE(B128:B130)</f>
        <v>89.559020990000008</v>
      </c>
      <c r="J130" s="22">
        <v>7499.8</v>
      </c>
    </row>
    <row r="131" spans="1:10" x14ac:dyDescent="0.3">
      <c r="A131" s="17">
        <v>42552</v>
      </c>
      <c r="B131" s="20">
        <v>93.725934480000006</v>
      </c>
      <c r="J131" s="21">
        <v>8090.1333333333341</v>
      </c>
    </row>
    <row r="132" spans="1:10" x14ac:dyDescent="0.3">
      <c r="A132" s="19">
        <v>42583</v>
      </c>
      <c r="B132" s="20">
        <v>94.322018839999998</v>
      </c>
      <c r="J132" s="22">
        <v>8718.5666666666657</v>
      </c>
    </row>
    <row r="133" spans="1:10" x14ac:dyDescent="0.3">
      <c r="A133" s="17">
        <v>42614</v>
      </c>
      <c r="B133" s="20">
        <v>95.912564419999995</v>
      </c>
      <c r="C133">
        <f>+AVERAGE(B131:B133)</f>
        <v>94.653505913333333</v>
      </c>
      <c r="J133" s="21">
        <v>9200.4333333333343</v>
      </c>
    </row>
    <row r="134" spans="1:10" x14ac:dyDescent="0.3">
      <c r="A134" s="19">
        <v>42644</v>
      </c>
      <c r="B134" s="20">
        <v>97.861501099999998</v>
      </c>
    </row>
    <row r="135" spans="1:10" x14ac:dyDescent="0.3">
      <c r="A135" s="17">
        <v>42675</v>
      </c>
      <c r="B135" s="20">
        <v>99.151412829999998</v>
      </c>
    </row>
    <row r="136" spans="1:10" x14ac:dyDescent="0.3">
      <c r="A136" s="19">
        <v>42705</v>
      </c>
      <c r="B136" s="18">
        <v>100</v>
      </c>
      <c r="C136">
        <f>+AVERAGE(B134:B136)</f>
        <v>99.004304643333327</v>
      </c>
    </row>
    <row r="137" spans="1:10" x14ac:dyDescent="0.3">
      <c r="A137" s="17">
        <v>42736</v>
      </c>
      <c r="B137" s="16">
        <v>101.6</v>
      </c>
    </row>
    <row r="138" spans="1:10" x14ac:dyDescent="0.3">
      <c r="A138" s="19">
        <v>42767</v>
      </c>
      <c r="B138" s="18">
        <v>103.7</v>
      </c>
    </row>
    <row r="139" spans="1:10" x14ac:dyDescent="0.3">
      <c r="A139" s="17">
        <v>42795</v>
      </c>
      <c r="B139" s="16">
        <v>106.1</v>
      </c>
      <c r="C139">
        <f>+AVERAGE(B137:B139)</f>
        <v>103.8</v>
      </c>
    </row>
    <row r="140" spans="1:10" x14ac:dyDescent="0.3">
      <c r="A140" s="19">
        <v>42826</v>
      </c>
      <c r="B140" s="18">
        <v>109</v>
      </c>
    </row>
    <row r="141" spans="1:10" x14ac:dyDescent="0.3">
      <c r="A141" s="17">
        <v>42856</v>
      </c>
      <c r="B141" s="16">
        <v>110.5</v>
      </c>
    </row>
    <row r="142" spans="1:10" x14ac:dyDescent="0.3">
      <c r="A142" s="19">
        <v>42887</v>
      </c>
      <c r="B142" s="18">
        <v>111.8</v>
      </c>
      <c r="C142">
        <f>+AVERAGE(B140:B142)</f>
        <v>110.43333333333334</v>
      </c>
    </row>
    <row r="143" spans="1:10" x14ac:dyDescent="0.3">
      <c r="A143" s="17">
        <v>42917</v>
      </c>
      <c r="B143" s="16">
        <v>113.8</v>
      </c>
    </row>
    <row r="144" spans="1:10" x14ac:dyDescent="0.3">
      <c r="A144" s="19">
        <v>42948</v>
      </c>
      <c r="B144" s="18">
        <v>115.4</v>
      </c>
    </row>
    <row r="145" spans="1:3" x14ac:dyDescent="0.3">
      <c r="A145" s="17">
        <v>42979</v>
      </c>
      <c r="B145" s="16">
        <v>117.6</v>
      </c>
      <c r="C145">
        <f>+AVERAGE(B143:B145)</f>
        <v>115.59999999999998</v>
      </c>
    </row>
    <row r="146" spans="1:3" x14ac:dyDescent="0.3">
      <c r="A146" s="19">
        <v>43009</v>
      </c>
      <c r="B146" s="18">
        <v>119.4</v>
      </c>
    </row>
    <row r="147" spans="1:3" x14ac:dyDescent="0.3">
      <c r="A147" s="17">
        <v>43040</v>
      </c>
      <c r="B147" s="16">
        <v>121</v>
      </c>
    </row>
    <row r="148" spans="1:3" x14ac:dyDescent="0.3">
      <c r="A148" s="19">
        <v>43070</v>
      </c>
      <c r="B148" s="18">
        <v>124.8</v>
      </c>
      <c r="C148">
        <f>+AVERAGE(B146:B148)</f>
        <v>121.73333333333333</v>
      </c>
    </row>
    <row r="149" spans="1:3" x14ac:dyDescent="0.3">
      <c r="A149" s="17">
        <v>43101</v>
      </c>
      <c r="B149" s="16">
        <v>127</v>
      </c>
    </row>
    <row r="150" spans="1:3" x14ac:dyDescent="0.3">
      <c r="A150" s="19">
        <v>43132</v>
      </c>
      <c r="B150" s="18">
        <v>130.1</v>
      </c>
    </row>
    <row r="151" spans="1:3" x14ac:dyDescent="0.3">
      <c r="A151" s="17">
        <v>43160</v>
      </c>
      <c r="B151" s="16">
        <v>133.1</v>
      </c>
      <c r="C151">
        <f>+AVERAGE(B149:B151)</f>
        <v>130.06666666666669</v>
      </c>
    </row>
    <row r="152" spans="1:3" x14ac:dyDescent="0.3">
      <c r="A152" s="19">
        <v>43191</v>
      </c>
      <c r="B152" s="18">
        <v>136.80000000000001</v>
      </c>
    </row>
    <row r="153" spans="1:3" x14ac:dyDescent="0.3">
      <c r="A153" s="17">
        <v>43221</v>
      </c>
      <c r="B153" s="16">
        <v>139.6</v>
      </c>
    </row>
    <row r="154" spans="1:3" x14ac:dyDescent="0.3">
      <c r="A154" s="19">
        <v>43252</v>
      </c>
      <c r="B154" s="18">
        <v>144.80000000000001</v>
      </c>
      <c r="C154">
        <f>+AVERAGE(B152:B154)</f>
        <v>140.4</v>
      </c>
    </row>
    <row r="155" spans="1:3" x14ac:dyDescent="0.3">
      <c r="A155" s="17">
        <v>43282</v>
      </c>
      <c r="B155" s="16">
        <v>149.30000000000001</v>
      </c>
    </row>
    <row r="156" spans="1:3" x14ac:dyDescent="0.3">
      <c r="A156" s="19">
        <v>43313</v>
      </c>
      <c r="B156" s="18">
        <v>155.1</v>
      </c>
    </row>
    <row r="157" spans="1:3" x14ac:dyDescent="0.3">
      <c r="A157" s="17">
        <v>43344</v>
      </c>
      <c r="B157" s="16">
        <v>165.2</v>
      </c>
      <c r="C157">
        <f>+AVERAGE(B155:B157)</f>
        <v>156.53333333333333</v>
      </c>
    </row>
    <row r="158" spans="1:3" x14ac:dyDescent="0.3">
      <c r="A158" s="19">
        <v>43374</v>
      </c>
      <c r="B158" s="18">
        <v>174.1</v>
      </c>
    </row>
    <row r="159" spans="1:3" x14ac:dyDescent="0.3">
      <c r="A159" s="17">
        <v>43405</v>
      </c>
      <c r="B159" s="16">
        <v>179.6</v>
      </c>
    </row>
    <row r="160" spans="1:3" x14ac:dyDescent="0.3">
      <c r="A160" s="19">
        <v>43435</v>
      </c>
      <c r="B160" s="18">
        <v>184.3</v>
      </c>
      <c r="C160">
        <f>+AVERAGE(B158:B160)</f>
        <v>179.33333333333334</v>
      </c>
    </row>
    <row r="161" spans="1:3" x14ac:dyDescent="0.3">
      <c r="A161" s="17">
        <v>43466</v>
      </c>
      <c r="B161" s="16">
        <v>189.6</v>
      </c>
    </row>
    <row r="162" spans="1:3" x14ac:dyDescent="0.3">
      <c r="A162" s="19">
        <v>43497</v>
      </c>
      <c r="B162" s="18">
        <v>196.8</v>
      </c>
    </row>
    <row r="163" spans="1:3" x14ac:dyDescent="0.3">
      <c r="A163" s="17">
        <v>43525</v>
      </c>
      <c r="B163" s="16">
        <v>206</v>
      </c>
      <c r="C163">
        <f>+AVERAGE(B161:B163)</f>
        <v>197.46666666666667</v>
      </c>
    </row>
    <row r="164" spans="1:3" x14ac:dyDescent="0.3">
      <c r="A164" s="19">
        <v>43556</v>
      </c>
      <c r="B164" s="18">
        <v>213.1</v>
      </c>
    </row>
    <row r="165" spans="1:3" x14ac:dyDescent="0.3">
      <c r="A165" s="17">
        <v>43586</v>
      </c>
      <c r="B165" s="16">
        <v>219.6</v>
      </c>
    </row>
    <row r="166" spans="1:3" x14ac:dyDescent="0.3">
      <c r="A166" s="19">
        <v>43617</v>
      </c>
      <c r="B166" s="18">
        <v>225.5</v>
      </c>
      <c r="C166">
        <f>+AVERAGE(B164:B166)</f>
        <v>219.4</v>
      </c>
    </row>
    <row r="167" spans="1:3" x14ac:dyDescent="0.3">
      <c r="A167" s="17">
        <v>43647</v>
      </c>
      <c r="B167" s="16">
        <v>230.5</v>
      </c>
    </row>
    <row r="168" spans="1:3" x14ac:dyDescent="0.3">
      <c r="A168" s="19">
        <v>43678</v>
      </c>
      <c r="B168" s="18">
        <v>239.6</v>
      </c>
    </row>
    <row r="169" spans="1:3" x14ac:dyDescent="0.3">
      <c r="A169" s="17">
        <v>43709</v>
      </c>
      <c r="B169" s="16">
        <v>253.7</v>
      </c>
      <c r="C169">
        <f>+AVERAGE(B167:B169)</f>
        <v>241.26666666666665</v>
      </c>
    </row>
    <row r="170" spans="1:3" x14ac:dyDescent="0.3">
      <c r="A170" s="19">
        <v>43739</v>
      </c>
      <c r="B170" s="18">
        <v>262.10000000000002</v>
      </c>
    </row>
    <row r="171" spans="1:3" x14ac:dyDescent="0.3">
      <c r="A171" s="17">
        <v>43770</v>
      </c>
      <c r="B171" s="16">
        <v>273.2</v>
      </c>
    </row>
    <row r="172" spans="1:3" x14ac:dyDescent="0.3">
      <c r="A172" s="19">
        <v>43800</v>
      </c>
      <c r="B172" s="18">
        <v>283.39999999999998</v>
      </c>
      <c r="C172">
        <f>+AVERAGE(B170:B172)</f>
        <v>272.89999999999998</v>
      </c>
    </row>
    <row r="173" spans="1:3" x14ac:dyDescent="0.3">
      <c r="A173" s="17">
        <v>43831</v>
      </c>
      <c r="B173" s="16">
        <v>289.8</v>
      </c>
    </row>
    <row r="174" spans="1:3" x14ac:dyDescent="0.3">
      <c r="A174" s="19">
        <v>43862</v>
      </c>
      <c r="B174" s="18">
        <v>295.7</v>
      </c>
    </row>
    <row r="175" spans="1:3" x14ac:dyDescent="0.3">
      <c r="A175" s="17">
        <v>43891</v>
      </c>
      <c r="B175" s="16">
        <v>305.60000000000002</v>
      </c>
      <c r="C175">
        <f>+AVERAGE(B173:B175)</f>
        <v>297.03333333333336</v>
      </c>
    </row>
    <row r="176" spans="1:3" x14ac:dyDescent="0.3">
      <c r="A176" s="19">
        <v>43922</v>
      </c>
      <c r="B176" s="18">
        <v>310.10000000000002</v>
      </c>
    </row>
    <row r="177" spans="1:3" x14ac:dyDescent="0.3">
      <c r="A177" s="17">
        <v>43952</v>
      </c>
      <c r="B177" s="16">
        <v>314.89999999999998</v>
      </c>
    </row>
    <row r="178" spans="1:3" x14ac:dyDescent="0.3">
      <c r="A178" s="19">
        <v>43983</v>
      </c>
      <c r="B178" s="18">
        <v>322</v>
      </c>
      <c r="C178">
        <f>+AVERAGE(B176:B178)</f>
        <v>315.66666666666669</v>
      </c>
    </row>
    <row r="179" spans="1:3" x14ac:dyDescent="0.3">
      <c r="A179" s="17">
        <v>44013</v>
      </c>
      <c r="B179" s="16">
        <v>328.2</v>
      </c>
    </row>
    <row r="180" spans="1:3" x14ac:dyDescent="0.3">
      <c r="A180" s="19">
        <v>44044</v>
      </c>
      <c r="B180" s="18">
        <v>337.1</v>
      </c>
    </row>
    <row r="181" spans="1:3" x14ac:dyDescent="0.3">
      <c r="A181" s="17">
        <v>44075</v>
      </c>
      <c r="B181" s="16">
        <v>346.6</v>
      </c>
      <c r="C181">
        <f>+AVERAGE(B179:B181)</f>
        <v>337.3</v>
      </c>
    </row>
    <row r="182" spans="1:3" x14ac:dyDescent="0.3">
      <c r="A182" s="19">
        <v>44105</v>
      </c>
      <c r="B182" s="18">
        <v>359.7</v>
      </c>
    </row>
    <row r="183" spans="1:3" x14ac:dyDescent="0.3">
      <c r="A183" s="17">
        <v>44136</v>
      </c>
      <c r="B183" s="16">
        <v>371</v>
      </c>
    </row>
    <row r="184" spans="1:3" x14ac:dyDescent="0.3">
      <c r="A184" s="19">
        <v>44166</v>
      </c>
      <c r="B184" s="18">
        <v>385.9</v>
      </c>
      <c r="C184">
        <f>+AVERAGE(B182:B184)</f>
        <v>372.2</v>
      </c>
    </row>
    <row r="185" spans="1:3" x14ac:dyDescent="0.3">
      <c r="A185" s="17">
        <v>44197</v>
      </c>
      <c r="B185" s="16">
        <v>401.5</v>
      </c>
    </row>
    <row r="186" spans="1:3" x14ac:dyDescent="0.3">
      <c r="A186" s="19">
        <v>44228</v>
      </c>
      <c r="B186" s="18">
        <v>415.9</v>
      </c>
    </row>
    <row r="187" spans="1:3" x14ac:dyDescent="0.3">
      <c r="A187" s="17">
        <v>44256</v>
      </c>
      <c r="B187" s="16">
        <v>435.9</v>
      </c>
      <c r="C187">
        <f>+AVERAGE(B185:B187)</f>
        <v>417.76666666666665</v>
      </c>
    </row>
    <row r="188" spans="1:3" x14ac:dyDescent="0.3">
      <c r="A188" s="19">
        <v>44287</v>
      </c>
      <c r="B188" s="18">
        <v>453.7</v>
      </c>
    </row>
    <row r="189" spans="1:3" x14ac:dyDescent="0.3">
      <c r="A189" s="17">
        <v>44317</v>
      </c>
      <c r="B189" s="16">
        <v>468.7</v>
      </c>
    </row>
    <row r="190" spans="1:3" x14ac:dyDescent="0.3">
      <c r="A190" s="19">
        <v>44348</v>
      </c>
      <c r="B190" s="18">
        <v>483.6</v>
      </c>
      <c r="C190">
        <f>+AVERAGE(B188:B190)</f>
        <v>468.66666666666669</v>
      </c>
    </row>
    <row r="191" spans="1:3" x14ac:dyDescent="0.3">
      <c r="A191" s="17">
        <v>44378</v>
      </c>
      <c r="B191" s="16">
        <v>498.1</v>
      </c>
    </row>
    <row r="192" spans="1:3" x14ac:dyDescent="0.3">
      <c r="A192" s="19">
        <v>44409</v>
      </c>
      <c r="B192" s="18">
        <v>510.4</v>
      </c>
    </row>
    <row r="193" spans="1:3" x14ac:dyDescent="0.3">
      <c r="A193" s="17">
        <v>44440</v>
      </c>
      <c r="B193" s="16">
        <v>528.5</v>
      </c>
      <c r="C193">
        <f>+AVERAGE(B191:B193)</f>
        <v>512.33333333333337</v>
      </c>
    </row>
    <row r="194" spans="1:3" x14ac:dyDescent="0.3">
      <c r="A194" s="19">
        <v>44470</v>
      </c>
      <c r="B194" s="18">
        <v>547.1</v>
      </c>
    </row>
    <row r="195" spans="1:3" x14ac:dyDescent="0.3">
      <c r="A195" s="17">
        <v>44501</v>
      </c>
      <c r="B195" s="16">
        <v>560.9</v>
      </c>
    </row>
    <row r="196" spans="1:3" x14ac:dyDescent="0.3">
      <c r="A196" s="19">
        <v>44531</v>
      </c>
      <c r="B196" s="18">
        <v>582.5</v>
      </c>
      <c r="C196">
        <f>+AVERAGE(B194:B196)</f>
        <v>563.5</v>
      </c>
    </row>
    <row r="197" spans="1:3" x14ac:dyDescent="0.3">
      <c r="A197" s="17">
        <v>44562</v>
      </c>
      <c r="B197" s="16">
        <v>605</v>
      </c>
    </row>
    <row r="198" spans="1:3" x14ac:dyDescent="0.3">
      <c r="A198" s="19">
        <v>44593</v>
      </c>
      <c r="B198" s="18">
        <v>633.4</v>
      </c>
    </row>
    <row r="199" spans="1:3" x14ac:dyDescent="0.3">
      <c r="A199" s="17">
        <v>44621</v>
      </c>
      <c r="B199" s="16">
        <v>676.1</v>
      </c>
      <c r="C199">
        <f>+AVERAGE(B197:B199)</f>
        <v>638.16666666666663</v>
      </c>
    </row>
    <row r="200" spans="1:3" x14ac:dyDescent="0.3">
      <c r="A200" s="19">
        <v>44652</v>
      </c>
      <c r="B200" s="18">
        <v>716.9</v>
      </c>
    </row>
    <row r="201" spans="1:3" x14ac:dyDescent="0.3">
      <c r="A201" s="17">
        <v>44682</v>
      </c>
      <c r="B201" s="16">
        <v>753.1</v>
      </c>
    </row>
    <row r="202" spans="1:3" x14ac:dyDescent="0.3">
      <c r="A202" s="19">
        <v>44713</v>
      </c>
      <c r="B202" s="18">
        <v>793</v>
      </c>
      <c r="C202">
        <f>+AVERAGE(B200:B202)</f>
        <v>754.33333333333337</v>
      </c>
    </row>
    <row r="203" spans="1:3" x14ac:dyDescent="0.3">
      <c r="A203" s="17">
        <v>44743</v>
      </c>
      <c r="B203" s="16">
        <v>851.8</v>
      </c>
    </row>
    <row r="204" spans="1:3" x14ac:dyDescent="0.3">
      <c r="A204" s="19">
        <v>44774</v>
      </c>
      <c r="B204" s="18">
        <v>911.1</v>
      </c>
    </row>
    <row r="205" spans="1:3" x14ac:dyDescent="0.3">
      <c r="A205" s="17">
        <v>44805</v>
      </c>
      <c r="B205" s="16">
        <v>967.3</v>
      </c>
      <c r="C205">
        <f>+AVERAGE(B203:B205)</f>
        <v>910.06666666666661</v>
      </c>
    </row>
    <row r="206" spans="1:3" x14ac:dyDescent="0.3">
      <c r="A206" s="19">
        <v>44835</v>
      </c>
      <c r="B206" s="18">
        <v>1028.7</v>
      </c>
    </row>
    <row r="207" spans="1:3" x14ac:dyDescent="0.3">
      <c r="A207" s="17">
        <v>44866</v>
      </c>
      <c r="B207" s="16">
        <v>1079.3</v>
      </c>
    </row>
    <row r="208" spans="1:3" x14ac:dyDescent="0.3">
      <c r="A208" s="19">
        <v>44896</v>
      </c>
      <c r="B208" s="18">
        <v>1134.5999999999999</v>
      </c>
      <c r="C208">
        <f>+AVERAGE(B206:B208)</f>
        <v>1080.8666666666666</v>
      </c>
    </row>
    <row r="209" spans="1:3" x14ac:dyDescent="0.3">
      <c r="A209" s="17">
        <v>44927</v>
      </c>
      <c r="B209" s="16">
        <v>1203</v>
      </c>
    </row>
    <row r="210" spans="1:3" x14ac:dyDescent="0.3">
      <c r="A210" s="19">
        <v>44958</v>
      </c>
      <c r="B210" s="18">
        <v>1282.7</v>
      </c>
    </row>
    <row r="211" spans="1:3" x14ac:dyDescent="0.3">
      <c r="A211" s="17">
        <v>44986</v>
      </c>
      <c r="B211" s="16">
        <v>1381.2</v>
      </c>
      <c r="C211">
        <f>+AVERAGE(B209:B211)</f>
        <v>1288.9666666666665</v>
      </c>
    </row>
    <row r="212" spans="1:3" x14ac:dyDescent="0.3">
      <c r="A212" s="19">
        <v>45017</v>
      </c>
      <c r="B212" s="18">
        <v>1497.2</v>
      </c>
    </row>
    <row r="213" spans="1:3" x14ac:dyDescent="0.3">
      <c r="A213" s="17">
        <v>45047</v>
      </c>
      <c r="B213" s="16">
        <v>1613.6</v>
      </c>
    </row>
    <row r="214" spans="1:3" x14ac:dyDescent="0.3">
      <c r="A214" s="19">
        <v>45078</v>
      </c>
      <c r="B214" s="18">
        <v>1709.6</v>
      </c>
      <c r="C214">
        <f>+AVERAGE(B212:B214)</f>
        <v>1606.8</v>
      </c>
    </row>
    <row r="215" spans="1:3" x14ac:dyDescent="0.3">
      <c r="A215" s="17">
        <v>45108</v>
      </c>
      <c r="B215" s="16">
        <v>1818.1</v>
      </c>
    </row>
    <row r="216" spans="1:3" x14ac:dyDescent="0.3">
      <c r="A216" s="19">
        <v>45139</v>
      </c>
      <c r="B216" s="18">
        <v>2044.3</v>
      </c>
    </row>
    <row r="217" spans="1:3" x14ac:dyDescent="0.3">
      <c r="A217" s="17">
        <v>45170</v>
      </c>
      <c r="B217" s="16">
        <v>2304.9</v>
      </c>
      <c r="C217">
        <f>+AVERAGE(B215:B217)</f>
        <v>2055.7666666666664</v>
      </c>
    </row>
    <row r="218" spans="1:3" x14ac:dyDescent="0.3">
      <c r="A218" s="19">
        <v>45200</v>
      </c>
      <c r="B218" s="18">
        <v>2496.3000000000002</v>
      </c>
    </row>
    <row r="219" spans="1:3" x14ac:dyDescent="0.3">
      <c r="A219" s="17">
        <v>45231</v>
      </c>
      <c r="B219" s="16">
        <v>2816.1</v>
      </c>
    </row>
    <row r="220" spans="1:3" x14ac:dyDescent="0.3">
      <c r="A220" s="19">
        <v>45261</v>
      </c>
      <c r="B220" s="18">
        <v>3533.2</v>
      </c>
      <c r="C220">
        <f>+AVERAGE(B218:B220)</f>
        <v>2948.5333333333328</v>
      </c>
    </row>
    <row r="221" spans="1:3" x14ac:dyDescent="0.3">
      <c r="A221" s="17">
        <v>45292</v>
      </c>
      <c r="B221" s="16">
        <v>4261.5</v>
      </c>
    </row>
    <row r="222" spans="1:3" x14ac:dyDescent="0.3">
      <c r="A222" s="19">
        <v>45323</v>
      </c>
      <c r="B222" s="18">
        <v>4825.8</v>
      </c>
    </row>
    <row r="223" spans="1:3" x14ac:dyDescent="0.3">
      <c r="A223" s="17">
        <v>45352</v>
      </c>
      <c r="B223" s="16">
        <v>5357.1</v>
      </c>
      <c r="C223">
        <f>+AVERAGE(B221:B223)</f>
        <v>4814.8</v>
      </c>
    </row>
    <row r="224" spans="1:3" x14ac:dyDescent="0.3">
      <c r="A224" s="19">
        <v>45383</v>
      </c>
      <c r="B224" s="18">
        <v>5830.2</v>
      </c>
    </row>
    <row r="225" spans="1:3" x14ac:dyDescent="0.3">
      <c r="A225" s="17">
        <v>45413</v>
      </c>
      <c r="B225" s="16">
        <v>6073.7</v>
      </c>
    </row>
    <row r="226" spans="1:3" x14ac:dyDescent="0.3">
      <c r="A226" s="19">
        <v>45444</v>
      </c>
      <c r="B226" s="18">
        <v>6351.7</v>
      </c>
      <c r="C226">
        <f>+AVERAGE(B224:B226)</f>
        <v>6085.2</v>
      </c>
    </row>
    <row r="227" spans="1:3" x14ac:dyDescent="0.3">
      <c r="A227" s="17">
        <v>45474</v>
      </c>
      <c r="B227" s="16">
        <v>6607.7</v>
      </c>
    </row>
    <row r="228" spans="1:3" x14ac:dyDescent="0.3">
      <c r="A228" s="19">
        <v>45505</v>
      </c>
      <c r="B228" s="18">
        <v>6883.4</v>
      </c>
    </row>
    <row r="229" spans="1:3" x14ac:dyDescent="0.3">
      <c r="A229" s="17">
        <v>45536</v>
      </c>
      <c r="B229" s="16">
        <v>7122.2</v>
      </c>
      <c r="C229">
        <f>+AVERAGE(B227:B229)</f>
        <v>6871.0999999999995</v>
      </c>
    </row>
    <row r="230" spans="1:3" x14ac:dyDescent="0.3">
      <c r="A230" s="19">
        <v>45566</v>
      </c>
      <c r="B230" s="18">
        <v>7314</v>
      </c>
    </row>
    <row r="231" spans="1:3" x14ac:dyDescent="0.3">
      <c r="A231" s="17">
        <v>45597</v>
      </c>
      <c r="B231" s="16">
        <v>7491.4</v>
      </c>
    </row>
    <row r="232" spans="1:3" x14ac:dyDescent="0.3">
      <c r="A232" s="19">
        <v>45627</v>
      </c>
      <c r="B232" s="18">
        <v>7694</v>
      </c>
      <c r="C232">
        <f>+AVERAGE(B230:B232)</f>
        <v>7499.8</v>
      </c>
    </row>
    <row r="233" spans="1:3" x14ac:dyDescent="0.3">
      <c r="A233" s="17">
        <v>45658</v>
      </c>
      <c r="B233" s="16">
        <v>7864.1</v>
      </c>
    </row>
    <row r="234" spans="1:3" x14ac:dyDescent="0.3">
      <c r="A234" s="19">
        <v>45689</v>
      </c>
      <c r="B234" s="18">
        <v>8053</v>
      </c>
    </row>
    <row r="235" spans="1:3" x14ac:dyDescent="0.3">
      <c r="A235" s="17">
        <v>45717</v>
      </c>
      <c r="B235" s="16">
        <v>8353.2999999999993</v>
      </c>
      <c r="C235">
        <f>+AVERAGE(B233:B235)</f>
        <v>8090.1333333333341</v>
      </c>
    </row>
    <row r="236" spans="1:3" x14ac:dyDescent="0.3">
      <c r="A236" s="19">
        <v>45748</v>
      </c>
      <c r="B236" s="18">
        <v>8585.6</v>
      </c>
    </row>
    <row r="237" spans="1:3" x14ac:dyDescent="0.3">
      <c r="A237" s="17">
        <v>45778</v>
      </c>
      <c r="B237" s="16">
        <v>8714.5</v>
      </c>
    </row>
    <row r="238" spans="1:3" x14ac:dyDescent="0.3">
      <c r="A238" s="19">
        <v>45809</v>
      </c>
      <c r="B238" s="18">
        <v>8855.6</v>
      </c>
      <c r="C238">
        <f>+AVERAGE(B236:B238)</f>
        <v>8718.5666666666657</v>
      </c>
    </row>
    <row r="239" spans="1:3" x14ac:dyDescent="0.3">
      <c r="A239" s="17">
        <v>45839</v>
      </c>
      <c r="B239" s="16">
        <v>9024</v>
      </c>
    </row>
    <row r="240" spans="1:3" x14ac:dyDescent="0.3">
      <c r="A240" s="19">
        <v>45870</v>
      </c>
      <c r="B240" s="18">
        <v>9193.2000000000007</v>
      </c>
    </row>
    <row r="241" spans="1:3" x14ac:dyDescent="0.3">
      <c r="A241" s="17">
        <v>45901</v>
      </c>
      <c r="B241" s="16">
        <v>9384.1</v>
      </c>
      <c r="C241">
        <f>+AVERAGE(B239:B241)</f>
        <v>9200.4333333333343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95B97-AED4-46CF-BE83-A3D1179A56C3}">
  <dimension ref="A1:E55"/>
  <sheetViews>
    <sheetView zoomScale="55" workbookViewId="0">
      <selection activeCell="K21" sqref="K21"/>
    </sheetView>
  </sheetViews>
  <sheetFormatPr baseColWidth="10" defaultColWidth="8.88671875" defaultRowHeight="14.4" x14ac:dyDescent="0.3"/>
  <cols>
    <col min="1" max="1" width="11.109375" bestFit="1" customWidth="1"/>
    <col min="2" max="2" width="20" bestFit="1" customWidth="1"/>
    <col min="4" max="4" width="18.109375" bestFit="1" customWidth="1"/>
  </cols>
  <sheetData>
    <row r="1" spans="1:5" x14ac:dyDescent="0.3">
      <c r="A1" t="s">
        <v>0</v>
      </c>
      <c r="B1" t="s">
        <v>22</v>
      </c>
      <c r="D1" t="s">
        <v>23</v>
      </c>
      <c r="E1" t="s">
        <v>5</v>
      </c>
    </row>
    <row r="2" spans="1:5" x14ac:dyDescent="0.3">
      <c r="A2" s="12">
        <v>40999</v>
      </c>
      <c r="B2" s="14">
        <f>+(C2/$C$2)*100</f>
        <v>100</v>
      </c>
      <c r="C2" s="2">
        <v>28.864731496127835</v>
      </c>
      <c r="D2" s="15">
        <f>+IPC_trim!J2</f>
        <v>100</v>
      </c>
      <c r="E2">
        <f t="shared" ref="E2:E33" si="0">+(B2/D2)*100</f>
        <v>100</v>
      </c>
    </row>
    <row r="3" spans="1:5" x14ac:dyDescent="0.3">
      <c r="A3" s="13">
        <v>41090</v>
      </c>
      <c r="B3" s="14">
        <f t="shared" ref="B3:B55" si="1">+(C3/$C$2)*100</f>
        <v>106.67014158154406</v>
      </c>
      <c r="C3" s="2">
        <v>30.790049954052105</v>
      </c>
      <c r="D3" s="15">
        <f>+IPC_trim!J3</f>
        <v>106.58805984537048</v>
      </c>
      <c r="E3">
        <f t="shared" si="0"/>
        <v>100.07700837813603</v>
      </c>
    </row>
    <row r="4" spans="1:5" x14ac:dyDescent="0.3">
      <c r="A4" s="12">
        <v>41182</v>
      </c>
      <c r="B4" s="14">
        <f t="shared" si="1"/>
        <v>113.77673334761498</v>
      </c>
      <c r="C4" s="2">
        <v>32.841348585854405</v>
      </c>
      <c r="D4" s="15">
        <f>+IPC_trim!J4</f>
        <v>112.2347019771813</v>
      </c>
      <c r="E4">
        <f t="shared" si="0"/>
        <v>101.37393457038554</v>
      </c>
    </row>
    <row r="5" spans="1:5" x14ac:dyDescent="0.3">
      <c r="A5" s="13">
        <v>41274</v>
      </c>
      <c r="B5" s="14">
        <f t="shared" si="1"/>
        <v>119.52600888853601</v>
      </c>
      <c r="C5" s="2">
        <v>34.50086153371381</v>
      </c>
      <c r="D5" s="15">
        <f>+IPC_trim!J5</f>
        <v>117.41156732069197</v>
      </c>
      <c r="E5">
        <f t="shared" si="0"/>
        <v>101.80088011436621</v>
      </c>
    </row>
    <row r="6" spans="1:5" x14ac:dyDescent="0.3">
      <c r="A6" s="12">
        <v>41364</v>
      </c>
      <c r="B6" s="14">
        <f t="shared" si="1"/>
        <v>123.92356115339271</v>
      </c>
      <c r="C6" s="2">
        <v>35.770203187366583</v>
      </c>
      <c r="D6" s="15">
        <f>+IPC_trim!J6</f>
        <v>124.10122572064736</v>
      </c>
      <c r="E6">
        <f t="shared" si="0"/>
        <v>99.856838990732797</v>
      </c>
    </row>
    <row r="7" spans="1:5" x14ac:dyDescent="0.3">
      <c r="A7" s="13">
        <v>41455</v>
      </c>
      <c r="B7" s="14">
        <f t="shared" si="1"/>
        <v>133.14459417554752</v>
      </c>
      <c r="C7" s="2">
        <v>38.431829610380852</v>
      </c>
      <c r="D7" s="15">
        <f>+IPC_trim!J7</f>
        <v>131.91499278221468</v>
      </c>
      <c r="E7">
        <f t="shared" si="0"/>
        <v>100.9321164845628</v>
      </c>
    </row>
    <row r="8" spans="1:5" x14ac:dyDescent="0.3">
      <c r="A8" s="12">
        <v>41547</v>
      </c>
      <c r="B8" s="14">
        <f t="shared" si="1"/>
        <v>142.62459474886677</v>
      </c>
      <c r="C8" s="2">
        <v>41.168206321700836</v>
      </c>
      <c r="D8" s="15">
        <f>+IPC_trim!J8</f>
        <v>140.48375822208061</v>
      </c>
      <c r="E8">
        <f t="shared" si="0"/>
        <v>101.52390322830193</v>
      </c>
    </row>
    <row r="9" spans="1:5" x14ac:dyDescent="0.3">
      <c r="A9" s="13">
        <v>41639</v>
      </c>
      <c r="B9" s="14">
        <f t="shared" si="1"/>
        <v>150.61693370066723</v>
      </c>
      <c r="C9" s="2">
        <v>43.475173500398476</v>
      </c>
      <c r="D9" s="15">
        <f>+IPC_trim!J9</f>
        <v>152.39409051210231</v>
      </c>
      <c r="E9">
        <f t="shared" si="0"/>
        <v>98.833841387508443</v>
      </c>
    </row>
    <row r="10" spans="1:5" x14ac:dyDescent="0.3">
      <c r="A10" s="12">
        <v>41729</v>
      </c>
      <c r="B10" s="14">
        <f t="shared" si="1"/>
        <v>159.38501702809572</v>
      </c>
      <c r="C10" s="2">
        <v>46.006057210217456</v>
      </c>
      <c r="D10" s="15">
        <f>+IPC_trim!J10</f>
        <v>173.84070466601071</v>
      </c>
      <c r="E10">
        <f t="shared" si="0"/>
        <v>91.684520799839248</v>
      </c>
    </row>
    <row r="11" spans="1:5" x14ac:dyDescent="0.3">
      <c r="A11" s="13">
        <v>41820</v>
      </c>
      <c r="B11" s="14">
        <f t="shared" si="1"/>
        <v>177.01982289116421</v>
      </c>
      <c r="C11" s="2">
        <v>51.096296572455593</v>
      </c>
      <c r="D11" s="15">
        <f>+IPC_trim!J11</f>
        <v>190.50379830804792</v>
      </c>
      <c r="E11">
        <f t="shared" si="0"/>
        <v>92.921938808233165</v>
      </c>
    </row>
    <row r="12" spans="1:5" x14ac:dyDescent="0.3">
      <c r="A12" s="12">
        <v>41912</v>
      </c>
      <c r="B12" s="14">
        <f t="shared" si="1"/>
        <v>192.55211207145609</v>
      </c>
      <c r="C12" s="2">
        <v>55.579650139548953</v>
      </c>
      <c r="D12" s="15">
        <f>+IPC_trim!J12</f>
        <v>203.62119589081055</v>
      </c>
      <c r="E12">
        <f t="shared" si="0"/>
        <v>94.563884289683614</v>
      </c>
    </row>
    <row r="13" spans="1:5" x14ac:dyDescent="0.3">
      <c r="A13" s="13">
        <v>42004</v>
      </c>
      <c r="B13" s="14">
        <f t="shared" si="1"/>
        <v>202.05087167214256</v>
      </c>
      <c r="C13" s="2">
        <v>58.321441593749775</v>
      </c>
      <c r="D13" s="15">
        <f>+IPC_trim!J13</f>
        <v>215.23418931667067</v>
      </c>
      <c r="E13">
        <f t="shared" si="0"/>
        <v>93.874896136908944</v>
      </c>
    </row>
    <row r="14" spans="1:5" x14ac:dyDescent="0.3">
      <c r="A14" s="12">
        <v>42094</v>
      </c>
      <c r="B14" s="14">
        <f t="shared" si="1"/>
        <v>211.99248602434983</v>
      </c>
      <c r="C14" s="2">
        <v>61.1910618828949</v>
      </c>
      <c r="D14" s="15">
        <f>+IPC_trim!J14</f>
        <v>226.18166565724164</v>
      </c>
      <c r="E14">
        <f t="shared" si="0"/>
        <v>93.726644645727276</v>
      </c>
    </row>
    <row r="15" spans="1:5" x14ac:dyDescent="0.3">
      <c r="A15" s="13">
        <v>42185</v>
      </c>
      <c r="B15" s="14">
        <f t="shared" si="1"/>
        <v>227.29330803345093</v>
      </c>
      <c r="C15" s="2">
        <v>65.607603072522366</v>
      </c>
      <c r="D15" s="15">
        <f>+IPC_trim!J15</f>
        <v>238.92249616968576</v>
      </c>
      <c r="E15">
        <f t="shared" si="0"/>
        <v>95.132652503355885</v>
      </c>
    </row>
    <row r="16" spans="1:5" x14ac:dyDescent="0.3">
      <c r="A16" s="12">
        <v>42277</v>
      </c>
      <c r="B16" s="14">
        <f t="shared" si="1"/>
        <v>249.42582642149506</v>
      </c>
      <c r="C16" s="2">
        <v>71.996095078562433</v>
      </c>
      <c r="D16" s="15">
        <f>+IPC_trim!J16</f>
        <v>253.02884839977241</v>
      </c>
      <c r="E16">
        <f t="shared" si="0"/>
        <v>98.576043008113928</v>
      </c>
    </row>
    <row r="17" spans="1:5" x14ac:dyDescent="0.3">
      <c r="A17" s="13">
        <v>42369</v>
      </c>
      <c r="B17" s="14">
        <f t="shared" si="1"/>
        <v>263.0066206467535</v>
      </c>
      <c r="C17" s="2">
        <v>75.916154866724909</v>
      </c>
      <c r="D17" s="15">
        <f>+IPC_trim!J17</f>
        <v>273.15374937000615</v>
      </c>
      <c r="E17">
        <f t="shared" si="0"/>
        <v>96.285195152306827</v>
      </c>
    </row>
    <row r="18" spans="1:5" x14ac:dyDescent="0.3">
      <c r="A18" s="12">
        <v>42460</v>
      </c>
      <c r="B18" s="14">
        <f t="shared" si="1"/>
        <v>276.83660287589265</v>
      </c>
      <c r="C18" s="2">
        <v>79.908142103128128</v>
      </c>
      <c r="D18" s="15">
        <f>+IPC_trim!J18</f>
        <v>307.84079788456535</v>
      </c>
      <c r="E18">
        <f t="shared" si="0"/>
        <v>89.928497060256873</v>
      </c>
    </row>
    <row r="19" spans="1:5" x14ac:dyDescent="0.3">
      <c r="A19" s="13">
        <v>42551</v>
      </c>
      <c r="B19" s="14">
        <f t="shared" si="1"/>
        <v>304.19991395817078</v>
      </c>
      <c r="C19" s="2">
        <v>87.806488375477898</v>
      </c>
      <c r="D19" s="15">
        <f>+IPC_trim!J19</f>
        <v>338.20478166347442</v>
      </c>
      <c r="E19">
        <f t="shared" si="0"/>
        <v>89.94547991366376</v>
      </c>
    </row>
    <row r="20" spans="1:5" x14ac:dyDescent="0.3">
      <c r="A20" s="12">
        <v>42643</v>
      </c>
      <c r="B20" s="14">
        <f t="shared" si="1"/>
        <v>332.18546324861347</v>
      </c>
      <c r="C20" s="2">
        <v>95.884442035880681</v>
      </c>
      <c r="D20" s="15">
        <f>+IPC_trim!J20</f>
        <v>357.44325861574254</v>
      </c>
      <c r="E20">
        <f t="shared" si="0"/>
        <v>92.933760881393042</v>
      </c>
    </row>
    <row r="21" spans="1:5" x14ac:dyDescent="0.3">
      <c r="A21" s="13">
        <v>42735</v>
      </c>
      <c r="B21" s="14">
        <f t="shared" si="1"/>
        <v>351.29375796758291</v>
      </c>
      <c r="C21" s="2">
        <v>101.39999999999999</v>
      </c>
      <c r="D21" s="15">
        <f>+IPC_trim!J21</f>
        <v>373.87332806352794</v>
      </c>
      <c r="E21">
        <f t="shared" si="0"/>
        <v>93.960636290131845</v>
      </c>
    </row>
    <row r="22" spans="1:5" x14ac:dyDescent="0.3">
      <c r="A22" s="12">
        <v>42825</v>
      </c>
      <c r="B22" s="14">
        <f t="shared" si="1"/>
        <v>368.33878054352482</v>
      </c>
      <c r="C22" s="2">
        <v>106.32</v>
      </c>
      <c r="D22" s="15">
        <f>+IPC_trim!J22</f>
        <v>391.9834757973569</v>
      </c>
      <c r="E22">
        <f t="shared" si="0"/>
        <v>93.967935713173873</v>
      </c>
    </row>
    <row r="23" spans="1:5" x14ac:dyDescent="0.3">
      <c r="A23" s="13">
        <v>42916</v>
      </c>
      <c r="B23" s="14">
        <f t="shared" si="1"/>
        <v>396.68941091204607</v>
      </c>
      <c r="C23" s="2">
        <v>114.50333333333333</v>
      </c>
      <c r="D23" s="15">
        <f>+IPC_trim!J23</f>
        <v>417.03315841896068</v>
      </c>
      <c r="E23">
        <f t="shared" si="0"/>
        <v>95.121791374086172</v>
      </c>
    </row>
    <row r="24" spans="1:5" x14ac:dyDescent="0.3">
      <c r="A24" s="12">
        <v>43008</v>
      </c>
      <c r="B24" s="14">
        <f t="shared" si="1"/>
        <v>428.15803321519076</v>
      </c>
      <c r="C24" s="2">
        <v>123.58666666666666</v>
      </c>
      <c r="D24" s="15">
        <f>+IPC_trim!J24</f>
        <v>436.54421774734533</v>
      </c>
      <c r="E24">
        <f t="shared" si="0"/>
        <v>98.078961032761143</v>
      </c>
    </row>
    <row r="25" spans="1:5" x14ac:dyDescent="0.3">
      <c r="A25" s="13">
        <v>43100</v>
      </c>
      <c r="B25" s="14">
        <f t="shared" si="1"/>
        <v>448.36724019886179</v>
      </c>
      <c r="C25" s="2">
        <v>129.41999999999999</v>
      </c>
      <c r="D25" s="15">
        <f>+IPC_trim!J25</f>
        <v>459.70573333717005</v>
      </c>
      <c r="E25">
        <f t="shared" si="0"/>
        <v>97.533532362975322</v>
      </c>
    </row>
    <row r="26" spans="1:5" x14ac:dyDescent="0.3">
      <c r="A26" s="12">
        <v>43190</v>
      </c>
      <c r="B26" s="14">
        <f t="shared" si="1"/>
        <v>464.47686519441663</v>
      </c>
      <c r="C26" s="2">
        <v>134.07</v>
      </c>
      <c r="D26" s="15">
        <f>+IPC_trim!J26</f>
        <v>491.17518386682309</v>
      </c>
      <c r="E26">
        <f t="shared" si="0"/>
        <v>94.564399923012914</v>
      </c>
    </row>
    <row r="27" spans="1:5" x14ac:dyDescent="0.3">
      <c r="A27" s="13">
        <v>43281</v>
      </c>
      <c r="B27" s="14">
        <f t="shared" si="1"/>
        <v>490.65644932697774</v>
      </c>
      <c r="C27" s="2">
        <v>141.62666666666667</v>
      </c>
      <c r="D27" s="15">
        <f>+IPC_trim!J27</f>
        <v>530.19730252359261</v>
      </c>
      <c r="E27">
        <f t="shared" si="0"/>
        <v>92.542237953982166</v>
      </c>
    </row>
    <row r="28" spans="1:5" x14ac:dyDescent="0.3">
      <c r="A28" s="12">
        <v>43373</v>
      </c>
      <c r="B28" s="14">
        <f t="shared" si="1"/>
        <v>523.58013453294689</v>
      </c>
      <c r="C28" s="2">
        <v>151.13000000000002</v>
      </c>
      <c r="D28" s="15">
        <f>+IPC_trim!J28</f>
        <v>591.12215874900062</v>
      </c>
      <c r="E28">
        <f t="shared" si="0"/>
        <v>88.573931256613051</v>
      </c>
    </row>
    <row r="29" spans="1:5" x14ac:dyDescent="0.3">
      <c r="A29" s="13">
        <v>43465</v>
      </c>
      <c r="B29" s="14">
        <f t="shared" si="1"/>
        <v>573.81444903521469</v>
      </c>
      <c r="C29" s="2">
        <v>165.63000000000002</v>
      </c>
      <c r="D29" s="15">
        <f>+IPC_trim!J29</f>
        <v>677.22257539813108</v>
      </c>
      <c r="E29">
        <f t="shared" si="0"/>
        <v>84.730555341849907</v>
      </c>
    </row>
    <row r="30" spans="1:5" x14ac:dyDescent="0.3">
      <c r="A30" s="12">
        <v>43555</v>
      </c>
      <c r="B30" s="14">
        <f t="shared" si="1"/>
        <v>625.87336622515102</v>
      </c>
      <c r="C30" s="2">
        <v>180.65666666666667</v>
      </c>
      <c r="D30" s="15">
        <f>+IPC_trim!J30</f>
        <v>745.70009975065591</v>
      </c>
      <c r="E30">
        <f t="shared" si="0"/>
        <v>83.93097525860972</v>
      </c>
    </row>
    <row r="31" spans="1:5" x14ac:dyDescent="0.3">
      <c r="A31" s="13">
        <v>43646</v>
      </c>
      <c r="B31" s="14">
        <f t="shared" si="1"/>
        <v>679.09864336100202</v>
      </c>
      <c r="C31" s="2">
        <v>196.01999999999998</v>
      </c>
      <c r="D31" s="15">
        <f>+IPC_trim!J31</f>
        <v>828.5276935447024</v>
      </c>
      <c r="E31">
        <f t="shared" si="0"/>
        <v>81.964507481410081</v>
      </c>
    </row>
    <row r="32" spans="1:5" x14ac:dyDescent="0.3">
      <c r="A32" s="12">
        <v>43738</v>
      </c>
      <c r="B32" s="14">
        <f t="shared" si="1"/>
        <v>745.65044898779968</v>
      </c>
      <c r="C32" s="2">
        <v>215.23000000000002</v>
      </c>
      <c r="D32" s="15">
        <f>+IPC_trim!J32</f>
        <v>911.10353173451165</v>
      </c>
      <c r="E32">
        <f t="shared" si="0"/>
        <v>81.840364241401744</v>
      </c>
    </row>
    <row r="33" spans="1:5" x14ac:dyDescent="0.3">
      <c r="A33" s="13">
        <v>43830</v>
      </c>
      <c r="B33" s="14">
        <f t="shared" si="1"/>
        <v>809.15355138963196</v>
      </c>
      <c r="C33" s="2">
        <v>233.56000000000003</v>
      </c>
      <c r="D33" s="15">
        <f>+IPC_trim!J33</f>
        <v>1030.5615659450741</v>
      </c>
      <c r="E33">
        <f t="shared" si="0"/>
        <v>78.515789655671824</v>
      </c>
    </row>
    <row r="34" spans="1:5" x14ac:dyDescent="0.3">
      <c r="A34" s="12">
        <v>43921</v>
      </c>
      <c r="B34" s="14">
        <f t="shared" si="1"/>
        <v>911.04259894216261</v>
      </c>
      <c r="C34" s="2">
        <v>262.97000000000003</v>
      </c>
      <c r="D34" s="15">
        <f>+IPC_trim!J34</f>
        <v>1121.697094678949</v>
      </c>
      <c r="E34">
        <f t="shared" ref="E34:E65" si="2">+(B34/D34)*100</f>
        <v>81.220019492242713</v>
      </c>
    </row>
    <row r="35" spans="1:5" x14ac:dyDescent="0.3">
      <c r="A35" s="13">
        <v>44012</v>
      </c>
      <c r="B35" s="14">
        <f t="shared" si="1"/>
        <v>943.87389920192049</v>
      </c>
      <c r="C35" s="2">
        <v>272.44666666666666</v>
      </c>
      <c r="D35" s="15">
        <f>+IPC_trim!J35</f>
        <v>1192.062786063253</v>
      </c>
      <c r="E35">
        <f t="shared" si="2"/>
        <v>79.179881314727723</v>
      </c>
    </row>
    <row r="36" spans="1:5" x14ac:dyDescent="0.3">
      <c r="A36" s="12">
        <v>44104</v>
      </c>
      <c r="B36" s="14">
        <f t="shared" si="1"/>
        <v>985.41248064207173</v>
      </c>
      <c r="C36" s="2">
        <v>284.43666666666667</v>
      </c>
      <c r="D36" s="15">
        <f>+IPC_trim!J36</f>
        <v>1273.7574796382321</v>
      </c>
      <c r="E36">
        <f t="shared" si="2"/>
        <v>77.362645275452664</v>
      </c>
    </row>
    <row r="37" spans="1:5" x14ac:dyDescent="0.3">
      <c r="A37" s="13">
        <v>44196</v>
      </c>
      <c r="B37" s="14">
        <f t="shared" si="1"/>
        <v>1078.9175943259481</v>
      </c>
      <c r="C37" s="2">
        <v>311.42666666666668</v>
      </c>
      <c r="D37" s="15">
        <f>+IPC_trim!J37</f>
        <v>1405.5515384564185</v>
      </c>
      <c r="E37">
        <f t="shared" si="2"/>
        <v>76.761154949239298</v>
      </c>
    </row>
    <row r="38" spans="1:5" x14ac:dyDescent="0.3">
      <c r="A38" s="12">
        <v>44286</v>
      </c>
      <c r="B38" s="14">
        <f t="shared" si="1"/>
        <v>1191.9736722517414</v>
      </c>
      <c r="C38" s="2">
        <v>344.05999999999995</v>
      </c>
      <c r="D38" s="15">
        <f>+IPC_trim!J38</f>
        <v>1577.6264939525606</v>
      </c>
      <c r="E38">
        <f t="shared" si="2"/>
        <v>75.554871626514668</v>
      </c>
    </row>
    <row r="39" spans="1:5" x14ac:dyDescent="0.3">
      <c r="A39" s="13">
        <v>44377</v>
      </c>
      <c r="B39" s="14">
        <f t="shared" si="1"/>
        <v>1322.7445636135071</v>
      </c>
      <c r="C39" s="2">
        <v>381.80666666666667</v>
      </c>
      <c r="D39" s="15">
        <f>+IPC_trim!J39</f>
        <v>1769.8418977876809</v>
      </c>
      <c r="E39">
        <f t="shared" si="2"/>
        <v>74.738007121819777</v>
      </c>
    </row>
    <row r="40" spans="1:5" x14ac:dyDescent="0.3">
      <c r="A40" s="12">
        <v>44469</v>
      </c>
      <c r="B40" s="14">
        <f t="shared" si="1"/>
        <v>1471.3688458305614</v>
      </c>
      <c r="C40" s="2">
        <v>424.70666666666665</v>
      </c>
      <c r="D40" s="15">
        <f>+IPC_trim!J40</f>
        <v>1934.7418185630622</v>
      </c>
      <c r="E40">
        <f t="shared" si="2"/>
        <v>76.049880749636714</v>
      </c>
    </row>
    <row r="41" spans="1:5" x14ac:dyDescent="0.3">
      <c r="A41" s="13">
        <v>44561</v>
      </c>
      <c r="B41" s="14">
        <f t="shared" si="1"/>
        <v>1642.7313729338148</v>
      </c>
      <c r="C41" s="2">
        <v>474.17</v>
      </c>
      <c r="D41" s="15">
        <f>+IPC_trim!J41</f>
        <v>2127.9642448151312</v>
      </c>
      <c r="E41">
        <f t="shared" si="2"/>
        <v>77.197320252743651</v>
      </c>
    </row>
    <row r="42" spans="1:5" x14ac:dyDescent="0.3">
      <c r="A42" s="12">
        <v>44651</v>
      </c>
      <c r="B42" s="14">
        <f t="shared" si="1"/>
        <v>1836.6127306760156</v>
      </c>
      <c r="C42" s="2">
        <v>530.13333333333333</v>
      </c>
      <c r="D42" s="15">
        <f>+IPC_trim!J42</f>
        <v>2409.930521560821</v>
      </c>
      <c r="E42">
        <f t="shared" si="2"/>
        <v>76.210194204541253</v>
      </c>
    </row>
    <row r="43" spans="1:5" x14ac:dyDescent="0.3">
      <c r="A43" s="13">
        <v>44742</v>
      </c>
      <c r="B43" s="14">
        <f t="shared" si="1"/>
        <v>2160.1679085437254</v>
      </c>
      <c r="C43" s="2">
        <v>623.52666666666664</v>
      </c>
      <c r="D43" s="15">
        <f>+IPC_trim!J43</f>
        <v>2848.6146619441834</v>
      </c>
      <c r="E43">
        <f t="shared" si="2"/>
        <v>75.832226008041673</v>
      </c>
    </row>
    <row r="44" spans="1:5" x14ac:dyDescent="0.3">
      <c r="A44" s="12">
        <v>44834</v>
      </c>
      <c r="B44" s="14">
        <f t="shared" si="1"/>
        <v>2560.0561482183298</v>
      </c>
      <c r="C44" s="2">
        <v>738.95333333333338</v>
      </c>
      <c r="D44" s="15">
        <f>+IPC_trim!J44</f>
        <v>3436.7157534423368</v>
      </c>
      <c r="E44">
        <f t="shared" si="2"/>
        <v>74.491355464998421</v>
      </c>
    </row>
    <row r="45" spans="1:5" x14ac:dyDescent="0.3">
      <c r="A45" s="13">
        <v>44926</v>
      </c>
      <c r="B45" s="14">
        <f t="shared" si="1"/>
        <v>3048.8879948576391</v>
      </c>
      <c r="C45" s="2">
        <v>880.05333333333328</v>
      </c>
      <c r="D45" s="15">
        <f>+IPC_trim!J45</f>
        <v>4081.7136114981031</v>
      </c>
      <c r="E45">
        <f t="shared" si="2"/>
        <v>74.696274287078452</v>
      </c>
    </row>
    <row r="46" spans="1:5" x14ac:dyDescent="0.3">
      <c r="A46" s="12">
        <v>45016</v>
      </c>
      <c r="B46" s="14">
        <f t="shared" si="1"/>
        <v>3627.4140761496178</v>
      </c>
      <c r="C46" s="2">
        <v>1047.0433333333333</v>
      </c>
      <c r="D46" s="15">
        <f>+IPC_trim!J46</f>
        <v>4867.5687301245962</v>
      </c>
      <c r="E46">
        <f t="shared" si="2"/>
        <v>74.522092594196735</v>
      </c>
    </row>
    <row r="47" spans="1:5" x14ac:dyDescent="0.3">
      <c r="A47" s="13">
        <v>45107</v>
      </c>
      <c r="B47" s="14">
        <f t="shared" si="1"/>
        <v>4457.1810186625935</v>
      </c>
      <c r="C47" s="2">
        <v>1286.5533333333333</v>
      </c>
      <c r="D47" s="15">
        <f>+IPC_trim!J47</f>
        <v>6067.8135733255594</v>
      </c>
      <c r="E47">
        <f t="shared" si="2"/>
        <v>73.456129869523437</v>
      </c>
    </row>
    <row r="48" spans="1:5" x14ac:dyDescent="0.3">
      <c r="A48" s="12">
        <v>45199</v>
      </c>
      <c r="B48" s="14">
        <f t="shared" si="1"/>
        <v>5752.2562908858863</v>
      </c>
      <c r="C48" s="2">
        <v>1660.3733333333332</v>
      </c>
      <c r="D48" s="15">
        <f>+IPC_trim!J48</f>
        <v>7763.2616900611392</v>
      </c>
      <c r="E48">
        <f t="shared" si="2"/>
        <v>74.095870016209446</v>
      </c>
    </row>
    <row r="49" spans="1:5" x14ac:dyDescent="0.3">
      <c r="A49" s="13">
        <v>45291</v>
      </c>
      <c r="B49" s="14">
        <f t="shared" si="1"/>
        <v>7488.8738654066983</v>
      </c>
      <c r="C49" s="2">
        <v>2161.6433333333334</v>
      </c>
      <c r="D49" s="15">
        <f>+IPC_trim!J49</f>
        <v>11134.646864203916</v>
      </c>
      <c r="E49">
        <f t="shared" si="2"/>
        <v>67.257398970435361</v>
      </c>
    </row>
    <row r="50" spans="1:5" x14ac:dyDescent="0.3">
      <c r="A50" s="12">
        <v>45382</v>
      </c>
      <c r="B50" s="14">
        <f t="shared" si="1"/>
        <v>10683.753171514378</v>
      </c>
      <c r="C50" s="2">
        <v>3083.8366666666666</v>
      </c>
      <c r="D50" s="15">
        <f>+IPC_trim!J50</f>
        <v>18182.293249220751</v>
      </c>
      <c r="E50">
        <f t="shared" si="2"/>
        <v>58.759107143826625</v>
      </c>
    </row>
    <row r="51" spans="1:5" x14ac:dyDescent="0.3">
      <c r="A51" s="13">
        <v>45473</v>
      </c>
      <c r="B51" s="14">
        <f t="shared" si="1"/>
        <v>14055.595842089355</v>
      </c>
      <c r="C51" s="2">
        <v>4057.1100000000006</v>
      </c>
      <c r="D51" s="15">
        <f>+IPC_trim!J51</f>
        <v>22979.74804356528</v>
      </c>
      <c r="E51">
        <f t="shared" si="2"/>
        <v>61.165143392532372</v>
      </c>
    </row>
    <row r="52" spans="1:5" x14ac:dyDescent="0.3">
      <c r="A52" s="12">
        <v>45565</v>
      </c>
      <c r="B52" s="14">
        <f t="shared" si="1"/>
        <v>16995.434956063109</v>
      </c>
      <c r="C52" s="2">
        <v>4905.6866666666674</v>
      </c>
      <c r="D52" s="15">
        <f>+IPC_trim!J52</f>
        <v>25947.568984115787</v>
      </c>
      <c r="E52">
        <f t="shared" si="2"/>
        <v>65.499141620808999</v>
      </c>
    </row>
    <row r="53" spans="1:5" x14ac:dyDescent="0.3">
      <c r="A53" s="13">
        <v>45657</v>
      </c>
      <c r="B53" s="14">
        <f t="shared" si="1"/>
        <v>19332.127400579629</v>
      </c>
      <c r="C53" s="2">
        <v>5580.166666666667</v>
      </c>
      <c r="D53" s="15">
        <f>+IPC_trim!J53</f>
        <v>28321.750209874925</v>
      </c>
      <c r="E53">
        <f t="shared" si="2"/>
        <v>68.258943240870437</v>
      </c>
    </row>
    <row r="54" spans="1:5" x14ac:dyDescent="0.3">
      <c r="A54" s="12">
        <v>45747</v>
      </c>
      <c r="B54" s="14">
        <f t="shared" si="1"/>
        <v>21295.653951113098</v>
      </c>
      <c r="C54" s="2">
        <v>6146.9333333333343</v>
      </c>
      <c r="D54" s="15">
        <f>+IPC_trim!J54</f>
        <v>30551.046085395541</v>
      </c>
      <c r="E54">
        <f t="shared" si="2"/>
        <v>69.705154748508463</v>
      </c>
    </row>
    <row r="55" spans="1:5" x14ac:dyDescent="0.3">
      <c r="A55" s="13">
        <v>45838</v>
      </c>
      <c r="B55" s="14">
        <f t="shared" si="1"/>
        <v>23409.179009938511</v>
      </c>
      <c r="C55" s="2">
        <v>6756.9966666666669</v>
      </c>
      <c r="D55" s="15">
        <f>+IPC_trim!J55</f>
        <v>32924.220288737721</v>
      </c>
      <c r="E55">
        <f t="shared" si="2"/>
        <v>71.100177330383161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C1EA5-8E76-4B65-AF45-543ED28747A4}">
  <dimension ref="D2:L164"/>
  <sheetViews>
    <sheetView topLeftCell="F1" workbookViewId="0">
      <selection activeCell="I29" sqref="I4:I57"/>
    </sheetView>
  </sheetViews>
  <sheetFormatPr baseColWidth="10" defaultColWidth="11.44140625" defaultRowHeight="14.4" x14ac:dyDescent="0.3"/>
  <cols>
    <col min="5" max="5" width="20" customWidth="1"/>
    <col min="6" max="6" width="19.109375" customWidth="1"/>
    <col min="8" max="8" width="17.88671875" bestFit="1" customWidth="1"/>
    <col min="9" max="9" width="21.44140625" bestFit="1" customWidth="1"/>
    <col min="10" max="10" width="30.109375" bestFit="1" customWidth="1"/>
    <col min="11" max="12" width="29.33203125" bestFit="1" customWidth="1"/>
  </cols>
  <sheetData>
    <row r="2" spans="4:12" x14ac:dyDescent="0.3">
      <c r="D2" t="s">
        <v>24</v>
      </c>
      <c r="E2" t="s">
        <v>25</v>
      </c>
      <c r="F2" t="s">
        <v>26</v>
      </c>
      <c r="L2" t="s">
        <v>27</v>
      </c>
    </row>
    <row r="3" spans="4:12" x14ac:dyDescent="0.3">
      <c r="D3" s="5">
        <v>40909</v>
      </c>
      <c r="E3" s="8">
        <v>94.532015069743522</v>
      </c>
      <c r="F3">
        <f t="shared" ref="F3:F36" si="0">+E3/$E$48*$F$48</f>
        <v>28.470289483924542</v>
      </c>
      <c r="H3" s="11" t="s">
        <v>28</v>
      </c>
      <c r="I3" s="11" t="s">
        <v>29</v>
      </c>
      <c r="J3" t="s">
        <v>30</v>
      </c>
    </row>
    <row r="4" spans="4:12" x14ac:dyDescent="0.3">
      <c r="D4" s="6">
        <v>40940</v>
      </c>
      <c r="E4" s="8">
        <v>95.727535557944009</v>
      </c>
      <c r="F4">
        <f t="shared" si="0"/>
        <v>28.830345432778685</v>
      </c>
      <c r="H4" t="s">
        <v>31</v>
      </c>
      <c r="I4" t="s">
        <v>32</v>
      </c>
      <c r="J4" s="2">
        <v>28.864731496127835</v>
      </c>
    </row>
    <row r="5" spans="4:12" x14ac:dyDescent="0.3">
      <c r="D5" s="6">
        <v>40969</v>
      </c>
      <c r="E5" s="8">
        <v>97.265579840348948</v>
      </c>
      <c r="F5">
        <f t="shared" si="0"/>
        <v>29.293559571680277</v>
      </c>
      <c r="I5" t="s">
        <v>33</v>
      </c>
      <c r="J5" s="2">
        <v>30.790049954052105</v>
      </c>
    </row>
    <row r="6" spans="4:12" x14ac:dyDescent="0.3">
      <c r="D6" s="6">
        <v>41000</v>
      </c>
      <c r="E6" s="8">
        <v>99.999514752773806</v>
      </c>
      <c r="F6">
        <f t="shared" si="0"/>
        <v>30.116941135370823</v>
      </c>
      <c r="I6" t="s">
        <v>34</v>
      </c>
      <c r="J6" s="2">
        <v>32.841348585854405</v>
      </c>
    </row>
    <row r="7" spans="4:12" x14ac:dyDescent="0.3">
      <c r="D7" s="6">
        <v>41030</v>
      </c>
      <c r="E7" s="8">
        <v>102.345105</v>
      </c>
      <c r="F7">
        <f t="shared" si="0"/>
        <v>30.82336459730519</v>
      </c>
      <c r="I7" t="s">
        <v>35</v>
      </c>
      <c r="J7" s="2">
        <v>34.50086153371381</v>
      </c>
    </row>
    <row r="8" spans="4:12" x14ac:dyDescent="0.3">
      <c r="D8" s="6">
        <v>41061</v>
      </c>
      <c r="E8" s="8">
        <v>104.358844</v>
      </c>
      <c r="F8">
        <f t="shared" si="0"/>
        <v>31.429844129480301</v>
      </c>
      <c r="H8" t="s">
        <v>36</v>
      </c>
      <c r="I8" t="s">
        <v>32</v>
      </c>
      <c r="J8" s="2">
        <v>35.770203187366583</v>
      </c>
    </row>
    <row r="9" spans="4:12" x14ac:dyDescent="0.3">
      <c r="D9" s="6">
        <v>41091</v>
      </c>
      <c r="E9" s="8">
        <v>107.02364700000001</v>
      </c>
      <c r="F9">
        <f t="shared" si="0"/>
        <v>32.232405174769106</v>
      </c>
      <c r="I9" t="s">
        <v>33</v>
      </c>
      <c r="J9" s="2">
        <v>38.431829610380852</v>
      </c>
    </row>
    <row r="10" spans="4:12" x14ac:dyDescent="0.3">
      <c r="D10" s="6">
        <v>41122</v>
      </c>
      <c r="E10" s="8">
        <v>109.318668</v>
      </c>
      <c r="F10">
        <f t="shared" si="0"/>
        <v>32.923598652380683</v>
      </c>
      <c r="I10" t="s">
        <v>34</v>
      </c>
      <c r="J10" s="2">
        <v>41.168206321700836</v>
      </c>
    </row>
    <row r="11" spans="4:12" x14ac:dyDescent="0.3">
      <c r="D11" s="6">
        <v>41153</v>
      </c>
      <c r="E11" s="8">
        <v>110.794386</v>
      </c>
      <c r="F11">
        <f t="shared" si="0"/>
        <v>33.368041930413433</v>
      </c>
      <c r="I11" t="s">
        <v>35</v>
      </c>
      <c r="J11" s="2">
        <v>43.475173500398476</v>
      </c>
    </row>
    <row r="12" spans="4:12" x14ac:dyDescent="0.3">
      <c r="D12" s="6">
        <v>41183</v>
      </c>
      <c r="E12" s="8">
        <v>112.29013999999999</v>
      </c>
      <c r="F12">
        <f t="shared" si="0"/>
        <v>33.818519468053147</v>
      </c>
      <c r="H12" t="s">
        <v>37</v>
      </c>
      <c r="I12" t="s">
        <v>32</v>
      </c>
      <c r="J12" s="2">
        <v>46.006057210217456</v>
      </c>
    </row>
    <row r="13" spans="4:12" x14ac:dyDescent="0.3">
      <c r="D13" s="6">
        <v>41214</v>
      </c>
      <c r="E13" s="8">
        <v>114.89276199999999</v>
      </c>
      <c r="F13">
        <f t="shared" si="0"/>
        <v>34.602353407301798</v>
      </c>
      <c r="I13" t="s">
        <v>33</v>
      </c>
      <c r="J13" s="2">
        <v>51.096296572455593</v>
      </c>
    </row>
    <row r="14" spans="4:12" x14ac:dyDescent="0.3">
      <c r="D14" s="6">
        <v>41244</v>
      </c>
      <c r="E14" s="8">
        <v>116.48441100000001</v>
      </c>
      <c r="F14">
        <f t="shared" si="0"/>
        <v>35.081711725786469</v>
      </c>
      <c r="I14" t="s">
        <v>34</v>
      </c>
      <c r="J14" s="2">
        <v>55.579650139548953</v>
      </c>
    </row>
    <row r="15" spans="4:12" x14ac:dyDescent="0.3">
      <c r="D15" s="6">
        <v>41275</v>
      </c>
      <c r="E15" s="8">
        <v>117.207531</v>
      </c>
      <c r="F15">
        <f t="shared" si="0"/>
        <v>35.299494407308984</v>
      </c>
      <c r="I15" t="s">
        <v>35</v>
      </c>
      <c r="J15" s="2">
        <v>58.321441593749775</v>
      </c>
    </row>
    <row r="16" spans="4:12" x14ac:dyDescent="0.3">
      <c r="D16" s="6">
        <v>41306</v>
      </c>
      <c r="E16" s="8">
        <v>118.0295287043233</v>
      </c>
      <c r="F16">
        <f t="shared" si="0"/>
        <v>35.547056173340728</v>
      </c>
      <c r="H16" t="s">
        <v>38</v>
      </c>
      <c r="I16" t="s">
        <v>32</v>
      </c>
      <c r="J16" s="2">
        <v>61.1910618828949</v>
      </c>
    </row>
    <row r="17" spans="4:10" x14ac:dyDescent="0.3">
      <c r="D17" s="6">
        <v>41334</v>
      </c>
      <c r="E17" s="8">
        <v>121.07432118260607</v>
      </c>
      <c r="F17">
        <f t="shared" si="0"/>
        <v>36.464058981450044</v>
      </c>
      <c r="I17" t="s">
        <v>33</v>
      </c>
      <c r="J17" s="2">
        <v>65.607603072522366</v>
      </c>
    </row>
    <row r="18" spans="4:10" x14ac:dyDescent="0.3">
      <c r="D18" s="6">
        <v>41365</v>
      </c>
      <c r="E18" s="8">
        <v>123.67204298175955</v>
      </c>
      <c r="F18">
        <f t="shared" si="0"/>
        <v>37.246417122932968</v>
      </c>
      <c r="I18" t="s">
        <v>34</v>
      </c>
      <c r="J18" s="2">
        <v>71.996095078562433</v>
      </c>
    </row>
    <row r="19" spans="4:10" x14ac:dyDescent="0.3">
      <c r="D19" s="6">
        <v>41395</v>
      </c>
      <c r="E19" s="8">
        <v>128.24042879794416</v>
      </c>
      <c r="F19">
        <f t="shared" si="0"/>
        <v>38.622281866375424</v>
      </c>
      <c r="I19" t="s">
        <v>35</v>
      </c>
      <c r="J19" s="2">
        <v>75.916154866724909</v>
      </c>
    </row>
    <row r="20" spans="4:10" x14ac:dyDescent="0.3">
      <c r="D20" s="6">
        <v>41426</v>
      </c>
      <c r="E20" s="8">
        <v>130.911696334677</v>
      </c>
      <c r="F20">
        <f t="shared" si="0"/>
        <v>39.426789841834164</v>
      </c>
      <c r="H20" t="s">
        <v>39</v>
      </c>
      <c r="I20" t="s">
        <v>32</v>
      </c>
      <c r="J20" s="2">
        <v>79.908142103128128</v>
      </c>
    </row>
    <row r="21" spans="4:10" x14ac:dyDescent="0.3">
      <c r="D21" s="6">
        <v>41456</v>
      </c>
      <c r="E21" s="8">
        <v>133.929789</v>
      </c>
      <c r="F21">
        <f t="shared" si="0"/>
        <v>40.335751443971397</v>
      </c>
      <c r="I21" t="s">
        <v>33</v>
      </c>
      <c r="J21" s="2">
        <v>87.806488375477898</v>
      </c>
    </row>
    <row r="22" spans="4:10" x14ac:dyDescent="0.3">
      <c r="D22" s="6">
        <v>41487</v>
      </c>
      <c r="E22" s="8">
        <v>136.47143025151402</v>
      </c>
      <c r="F22">
        <f t="shared" si="0"/>
        <v>41.10121975797594</v>
      </c>
      <c r="I22" t="s">
        <v>34</v>
      </c>
      <c r="J22" s="2">
        <v>95.884442035880681</v>
      </c>
    </row>
    <row r="23" spans="4:10" x14ac:dyDescent="0.3">
      <c r="D23" s="6">
        <v>41518</v>
      </c>
      <c r="E23" s="8">
        <v>139.6803328796735</v>
      </c>
      <c r="F23">
        <f t="shared" si="0"/>
        <v>42.067647763155179</v>
      </c>
      <c r="I23" t="s">
        <v>35</v>
      </c>
      <c r="J23" s="2">
        <v>101.39999999999999</v>
      </c>
    </row>
    <row r="24" spans="4:10" x14ac:dyDescent="0.3">
      <c r="D24" s="6">
        <v>41548</v>
      </c>
      <c r="E24" s="8">
        <v>141.52180318351304</v>
      </c>
      <c r="F24">
        <f t="shared" si="0"/>
        <v>42.622244981755493</v>
      </c>
      <c r="H24" t="s">
        <v>40</v>
      </c>
      <c r="I24" t="s">
        <v>32</v>
      </c>
      <c r="J24" s="2">
        <v>106.32</v>
      </c>
    </row>
    <row r="25" spans="4:10" x14ac:dyDescent="0.3">
      <c r="D25" s="6">
        <v>41579</v>
      </c>
      <c r="E25" s="8">
        <v>144.91122285125465</v>
      </c>
      <c r="F25">
        <f t="shared" si="0"/>
        <v>43.643039461296809</v>
      </c>
      <c r="I25" t="s">
        <v>33</v>
      </c>
      <c r="J25" s="2">
        <v>114.50333333333333</v>
      </c>
    </row>
    <row r="26" spans="4:10" x14ac:dyDescent="0.3">
      <c r="D26" s="6">
        <v>41609</v>
      </c>
      <c r="E26" s="8">
        <v>146.62850909503175</v>
      </c>
      <c r="F26">
        <f t="shared" si="0"/>
        <v>44.16023605814312</v>
      </c>
      <c r="I26" t="s">
        <v>34</v>
      </c>
      <c r="J26" s="2">
        <v>123.58666666666666</v>
      </c>
    </row>
    <row r="27" spans="4:10" x14ac:dyDescent="0.3">
      <c r="D27" s="6">
        <v>41640</v>
      </c>
      <c r="E27" s="8">
        <v>149.17215602754115</v>
      </c>
      <c r="F27">
        <f t="shared" si="0"/>
        <v>44.926308424843548</v>
      </c>
      <c r="I27" t="s">
        <v>35</v>
      </c>
      <c r="J27" s="2">
        <v>129.41999999999999</v>
      </c>
    </row>
    <row r="28" spans="4:10" x14ac:dyDescent="0.3">
      <c r="D28" s="6">
        <v>41671</v>
      </c>
      <c r="E28" s="8">
        <v>152.33684437075482</v>
      </c>
      <c r="F28">
        <f t="shared" si="0"/>
        <v>45.87942037523645</v>
      </c>
      <c r="H28" t="s">
        <v>41</v>
      </c>
      <c r="I28" t="s">
        <v>32</v>
      </c>
      <c r="J28" s="2">
        <v>134.07</v>
      </c>
    </row>
    <row r="29" spans="4:10" x14ac:dyDescent="0.3">
      <c r="D29" s="6">
        <v>41699</v>
      </c>
      <c r="E29" s="8">
        <v>156.76297775823843</v>
      </c>
      <c r="F29">
        <f t="shared" si="0"/>
        <v>47.212442830572378</v>
      </c>
      <c r="I29" t="s">
        <v>33</v>
      </c>
      <c r="J29" s="2">
        <v>141.62666666666667</v>
      </c>
    </row>
    <row r="30" spans="4:10" x14ac:dyDescent="0.3">
      <c r="D30" s="6">
        <v>41730</v>
      </c>
      <c r="E30" s="8">
        <v>164.52121901965131</v>
      </c>
      <c r="F30">
        <f t="shared" si="0"/>
        <v>49.548999122486741</v>
      </c>
      <c r="I30" t="s">
        <v>34</v>
      </c>
      <c r="J30" s="2">
        <v>151.13000000000002</v>
      </c>
    </row>
    <row r="31" spans="4:10" x14ac:dyDescent="0.3">
      <c r="D31" s="6">
        <v>41760</v>
      </c>
      <c r="E31" s="8">
        <v>169.68180245934093</v>
      </c>
      <c r="F31">
        <f t="shared" si="0"/>
        <v>51.103216541056668</v>
      </c>
      <c r="I31" t="s">
        <v>35</v>
      </c>
      <c r="J31" s="2">
        <v>165.63000000000002</v>
      </c>
    </row>
    <row r="32" spans="4:10" x14ac:dyDescent="0.3">
      <c r="D32" s="6">
        <v>41791</v>
      </c>
      <c r="E32" s="8">
        <v>174.77345524311482</v>
      </c>
      <c r="F32">
        <f t="shared" si="0"/>
        <v>52.63667405382337</v>
      </c>
      <c r="H32" t="s">
        <v>42</v>
      </c>
      <c r="I32" t="s">
        <v>32</v>
      </c>
      <c r="J32" s="2">
        <v>180.65666666666667</v>
      </c>
    </row>
    <row r="33" spans="4:10" x14ac:dyDescent="0.3">
      <c r="D33" s="6">
        <v>41821</v>
      </c>
      <c r="E33" s="8">
        <v>180.7632207635686</v>
      </c>
      <c r="F33">
        <f t="shared" si="0"/>
        <v>54.440616963348099</v>
      </c>
      <c r="I33" t="s">
        <v>33</v>
      </c>
      <c r="J33" s="2">
        <v>196.01999999999998</v>
      </c>
    </row>
    <row r="34" spans="4:10" x14ac:dyDescent="0.3">
      <c r="D34" s="6">
        <v>41852</v>
      </c>
      <c r="E34" s="8">
        <v>184.8878936264795</v>
      </c>
      <c r="F34">
        <f t="shared" si="0"/>
        <v>55.682848289390648</v>
      </c>
      <c r="I34" t="s">
        <v>34</v>
      </c>
      <c r="J34" s="2">
        <v>215.23000000000002</v>
      </c>
    </row>
    <row r="35" spans="4:10" x14ac:dyDescent="0.3">
      <c r="D35" s="6">
        <v>41883</v>
      </c>
      <c r="E35" s="8">
        <v>187.98459706236576</v>
      </c>
      <c r="F35">
        <f t="shared" si="0"/>
        <v>56.61548516590809</v>
      </c>
      <c r="I35" t="s">
        <v>35</v>
      </c>
      <c r="J35" s="2">
        <v>233.56000000000003</v>
      </c>
    </row>
    <row r="36" spans="4:10" x14ac:dyDescent="0.3">
      <c r="D36" s="6">
        <v>41913</v>
      </c>
      <c r="E36" s="8">
        <v>190.91575837506286</v>
      </c>
      <c r="F36">
        <f t="shared" si="0"/>
        <v>57.49826557670329</v>
      </c>
      <c r="H36" t="s">
        <v>43</v>
      </c>
      <c r="I36" t="s">
        <v>32</v>
      </c>
      <c r="J36" s="2">
        <v>262.97000000000003</v>
      </c>
    </row>
    <row r="37" spans="4:10" x14ac:dyDescent="0.3">
      <c r="D37" s="6">
        <v>41944</v>
      </c>
      <c r="E37" s="8">
        <v>194.03766820502864</v>
      </c>
      <c r="F37">
        <f t="shared" ref="F37:F46" si="1">+E37/$E$48*$F$48</f>
        <v>58.438493884925222</v>
      </c>
      <c r="I37" t="s">
        <v>33</v>
      </c>
      <c r="J37" s="2">
        <v>272.44666666666666</v>
      </c>
    </row>
    <row r="38" spans="4:10" x14ac:dyDescent="0.3">
      <c r="D38" s="6">
        <v>41974</v>
      </c>
      <c r="E38" s="8">
        <v>195.99360580704149</v>
      </c>
      <c r="F38">
        <f t="shared" si="1"/>
        <v>59.02756531962082</v>
      </c>
      <c r="I38" t="s">
        <v>34</v>
      </c>
      <c r="J38" s="2">
        <v>284.43666666666667</v>
      </c>
    </row>
    <row r="39" spans="4:10" x14ac:dyDescent="0.3">
      <c r="D39" s="6">
        <v>42005</v>
      </c>
      <c r="E39" s="8">
        <v>199.8257992995255</v>
      </c>
      <c r="F39">
        <f t="shared" si="1"/>
        <v>60.181710378402627</v>
      </c>
      <c r="I39" t="s">
        <v>35</v>
      </c>
      <c r="J39" s="2">
        <v>311.42666666666668</v>
      </c>
    </row>
    <row r="40" spans="4:10" x14ac:dyDescent="0.3">
      <c r="D40" s="6">
        <v>42036</v>
      </c>
      <c r="E40" s="8">
        <v>201.66569207134734</v>
      </c>
      <c r="F40">
        <f t="shared" si="1"/>
        <v>60.735832490308326</v>
      </c>
      <c r="H40" t="s">
        <v>44</v>
      </c>
      <c r="I40" t="s">
        <v>32</v>
      </c>
      <c r="J40" s="2">
        <v>344.05999999999995</v>
      </c>
    </row>
    <row r="41" spans="4:10" x14ac:dyDescent="0.3">
      <c r="D41" s="6">
        <v>42064</v>
      </c>
      <c r="E41" s="8">
        <v>208.04018065307298</v>
      </c>
      <c r="F41">
        <f t="shared" si="1"/>
        <v>62.655642779973753</v>
      </c>
      <c r="I41" t="s">
        <v>33</v>
      </c>
      <c r="J41" s="2">
        <v>381.80666666666667</v>
      </c>
    </row>
    <row r="42" spans="4:10" x14ac:dyDescent="0.3">
      <c r="D42" s="6">
        <v>42095</v>
      </c>
      <c r="E42" s="8">
        <v>210.92470364796719</v>
      </c>
      <c r="F42">
        <f t="shared" si="1"/>
        <v>63.524377087891409</v>
      </c>
      <c r="I42" t="s">
        <v>34</v>
      </c>
      <c r="J42" s="2">
        <v>424.70666666666665</v>
      </c>
    </row>
    <row r="43" spans="4:10" x14ac:dyDescent="0.3">
      <c r="D43" s="6">
        <v>42125</v>
      </c>
      <c r="E43" s="8">
        <v>217.05013605891628</v>
      </c>
      <c r="F43">
        <f t="shared" si="1"/>
        <v>65.369178913233554</v>
      </c>
      <c r="I43" t="s">
        <v>35</v>
      </c>
      <c r="J43" s="2">
        <v>474.17</v>
      </c>
    </row>
    <row r="44" spans="4:10" x14ac:dyDescent="0.3">
      <c r="D44" s="6">
        <v>42156</v>
      </c>
      <c r="E44" s="8">
        <v>225.55054076141241</v>
      </c>
      <c r="F44">
        <f t="shared" si="1"/>
        <v>67.929253216442149</v>
      </c>
      <c r="H44" t="s">
        <v>45</v>
      </c>
      <c r="I44" t="s">
        <v>32</v>
      </c>
      <c r="J44" s="2">
        <v>530.13333333333333</v>
      </c>
    </row>
    <row r="45" spans="4:10" x14ac:dyDescent="0.3">
      <c r="D45" s="6">
        <v>42186</v>
      </c>
      <c r="E45" s="8">
        <v>233.48556905400631</v>
      </c>
      <c r="F45">
        <f t="shared" si="1"/>
        <v>70.319052612832962</v>
      </c>
      <c r="I45" t="s">
        <v>33</v>
      </c>
      <c r="J45" s="2">
        <v>623.52666666666664</v>
      </c>
    </row>
    <row r="46" spans="4:10" x14ac:dyDescent="0.3">
      <c r="D46" s="6">
        <v>42217</v>
      </c>
      <c r="E46" s="8">
        <v>239.65215789419534</v>
      </c>
      <c r="F46">
        <f t="shared" si="1"/>
        <v>72.176249555889697</v>
      </c>
      <c r="I46" t="s">
        <v>34</v>
      </c>
      <c r="J46" s="2">
        <v>738.95333333333338</v>
      </c>
    </row>
    <row r="47" spans="4:10" x14ac:dyDescent="0.3">
      <c r="D47" s="6">
        <v>42248</v>
      </c>
      <c r="E47" s="8">
        <v>244.0242058911802</v>
      </c>
      <c r="F47">
        <f>+E47/$E$48*$F$48</f>
        <v>73.492983066964626</v>
      </c>
      <c r="I47" t="s">
        <v>35</v>
      </c>
      <c r="J47" s="2">
        <v>880.05333333333328</v>
      </c>
    </row>
    <row r="48" spans="4:10" x14ac:dyDescent="0.3">
      <c r="D48" s="6">
        <v>42278</v>
      </c>
      <c r="E48" s="9">
        <v>246.99920872445574</v>
      </c>
      <c r="F48">
        <v>74.388967266776305</v>
      </c>
      <c r="H48" t="s">
        <v>46</v>
      </c>
      <c r="I48" t="s">
        <v>32</v>
      </c>
      <c r="J48" s="2">
        <v>1047.0433333333333</v>
      </c>
    </row>
    <row r="49" spans="4:10" x14ac:dyDescent="0.3">
      <c r="D49" s="6">
        <v>42309</v>
      </c>
      <c r="F49">
        <v>76.05920800978204</v>
      </c>
      <c r="I49" t="s">
        <v>33</v>
      </c>
      <c r="J49" s="2">
        <v>1286.5533333333333</v>
      </c>
    </row>
    <row r="50" spans="4:10" x14ac:dyDescent="0.3">
      <c r="D50" s="6">
        <v>42339</v>
      </c>
      <c r="F50">
        <v>77.300289323616397</v>
      </c>
      <c r="I50" t="s">
        <v>34</v>
      </c>
      <c r="J50" s="2">
        <v>1660.3733333333332</v>
      </c>
    </row>
    <row r="51" spans="4:10" x14ac:dyDescent="0.3">
      <c r="D51" s="6">
        <v>42370</v>
      </c>
      <c r="F51">
        <v>78.442408505473125</v>
      </c>
      <c r="I51" t="s">
        <v>35</v>
      </c>
      <c r="J51" s="2">
        <v>2161.6433333333334</v>
      </c>
    </row>
    <row r="52" spans="4:10" x14ac:dyDescent="0.3">
      <c r="D52" s="6">
        <v>42401</v>
      </c>
      <c r="F52">
        <v>79.481675007806885</v>
      </c>
      <c r="H52" t="s">
        <v>47</v>
      </c>
      <c r="I52" t="s">
        <v>32</v>
      </c>
      <c r="J52" s="2">
        <v>3083.8366666666666</v>
      </c>
    </row>
    <row r="53" spans="4:10" x14ac:dyDescent="0.3">
      <c r="D53" s="6">
        <v>42430</v>
      </c>
      <c r="F53">
        <v>81.800342796104374</v>
      </c>
      <c r="I53" t="s">
        <v>33</v>
      </c>
      <c r="J53" s="2">
        <v>4057.1100000000006</v>
      </c>
    </row>
    <row r="54" spans="4:10" x14ac:dyDescent="0.3">
      <c r="D54" s="6">
        <v>42461</v>
      </c>
      <c r="F54">
        <v>85.365751000248324</v>
      </c>
      <c r="I54" t="s">
        <v>34</v>
      </c>
      <c r="J54" s="2">
        <v>4905.6866666666674</v>
      </c>
    </row>
    <row r="55" spans="4:10" x14ac:dyDescent="0.3">
      <c r="D55" s="6">
        <v>42491</v>
      </c>
      <c r="F55">
        <v>88.195213769451726</v>
      </c>
      <c r="I55" t="s">
        <v>35</v>
      </c>
      <c r="J55" s="2">
        <v>5580.166666666667</v>
      </c>
    </row>
    <row r="56" spans="4:10" x14ac:dyDescent="0.3">
      <c r="D56" s="6">
        <v>42522</v>
      </c>
      <c r="F56">
        <v>89.858500356733671</v>
      </c>
      <c r="H56" t="s">
        <v>48</v>
      </c>
      <c r="I56" t="s">
        <v>32</v>
      </c>
      <c r="J56" s="2">
        <v>6146.9333333333343</v>
      </c>
    </row>
    <row r="57" spans="4:10" x14ac:dyDescent="0.3">
      <c r="D57" s="6">
        <v>42552</v>
      </c>
      <c r="F57">
        <v>93.789412064810733</v>
      </c>
      <c r="I57" t="s">
        <v>33</v>
      </c>
      <c r="J57" s="2">
        <v>6756.9966666666669</v>
      </c>
    </row>
    <row r="58" spans="4:10" x14ac:dyDescent="0.3">
      <c r="D58" s="6">
        <v>42583</v>
      </c>
      <c r="F58">
        <v>96.284661706342476</v>
      </c>
      <c r="H58" t="s">
        <v>49</v>
      </c>
      <c r="J58" s="2">
        <v>837.83967599606365</v>
      </c>
    </row>
    <row r="59" spans="4:10" x14ac:dyDescent="0.3">
      <c r="D59" s="6">
        <v>42614</v>
      </c>
      <c r="F59">
        <v>97.579252336488835</v>
      </c>
    </row>
    <row r="60" spans="4:10" x14ac:dyDescent="0.3">
      <c r="D60" s="6">
        <v>42644</v>
      </c>
      <c r="F60" s="10">
        <v>100</v>
      </c>
    </row>
    <row r="61" spans="4:10" x14ac:dyDescent="0.3">
      <c r="D61" s="6">
        <v>42675</v>
      </c>
      <c r="F61" s="10">
        <v>101.41</v>
      </c>
    </row>
    <row r="62" spans="4:10" x14ac:dyDescent="0.3">
      <c r="D62" s="6">
        <v>42705</v>
      </c>
      <c r="F62" s="10">
        <v>102.79</v>
      </c>
    </row>
    <row r="63" spans="4:10" x14ac:dyDescent="0.3">
      <c r="D63" s="6">
        <v>42736</v>
      </c>
      <c r="F63" s="10">
        <v>104.38</v>
      </c>
    </row>
    <row r="64" spans="4:10" x14ac:dyDescent="0.3">
      <c r="D64" s="6">
        <v>42767</v>
      </c>
      <c r="F64" s="10">
        <v>105.76</v>
      </c>
    </row>
    <row r="65" spans="4:6" x14ac:dyDescent="0.3">
      <c r="D65" s="6">
        <v>42795</v>
      </c>
      <c r="F65" s="10">
        <v>108.82</v>
      </c>
    </row>
    <row r="66" spans="4:6" x14ac:dyDescent="0.3">
      <c r="D66" s="6">
        <v>42826</v>
      </c>
      <c r="F66" s="10">
        <v>112.63</v>
      </c>
    </row>
    <row r="67" spans="4:6" x14ac:dyDescent="0.3">
      <c r="D67" s="6">
        <v>42856</v>
      </c>
      <c r="F67" s="10">
        <v>114.43</v>
      </c>
    </row>
    <row r="68" spans="4:6" x14ac:dyDescent="0.3">
      <c r="D68" s="6">
        <v>42887</v>
      </c>
      <c r="F68" s="10">
        <v>116.45</v>
      </c>
    </row>
    <row r="69" spans="4:6" x14ac:dyDescent="0.3">
      <c r="D69" s="6">
        <v>42917</v>
      </c>
      <c r="F69" s="10">
        <v>121.1</v>
      </c>
    </row>
    <row r="70" spans="4:6" x14ac:dyDescent="0.3">
      <c r="D70" s="6">
        <v>42948</v>
      </c>
      <c r="F70" s="10">
        <v>123.95</v>
      </c>
    </row>
    <row r="71" spans="4:6" x14ac:dyDescent="0.3">
      <c r="D71" s="6">
        <v>42979</v>
      </c>
      <c r="F71" s="10">
        <v>125.71</v>
      </c>
    </row>
    <row r="72" spans="4:6" x14ac:dyDescent="0.3">
      <c r="D72" s="6">
        <v>43009</v>
      </c>
      <c r="F72" s="10">
        <v>127.62</v>
      </c>
    </row>
    <row r="73" spans="4:6" x14ac:dyDescent="0.3">
      <c r="D73" s="6">
        <v>43040</v>
      </c>
      <c r="F73" s="10">
        <v>129.61000000000001</v>
      </c>
    </row>
    <row r="74" spans="4:6" x14ac:dyDescent="0.3">
      <c r="D74" s="6">
        <v>43070</v>
      </c>
      <c r="F74" s="10">
        <v>131.03</v>
      </c>
    </row>
    <row r="75" spans="4:6" x14ac:dyDescent="0.3">
      <c r="D75" s="6">
        <v>43101</v>
      </c>
      <c r="F75" s="10">
        <v>132.47999999999999</v>
      </c>
    </row>
    <row r="76" spans="4:6" x14ac:dyDescent="0.3">
      <c r="D76" s="6">
        <v>43132</v>
      </c>
      <c r="F76" s="10">
        <v>133.59</v>
      </c>
    </row>
    <row r="77" spans="4:6" x14ac:dyDescent="0.3">
      <c r="D77" s="6">
        <v>43160</v>
      </c>
      <c r="F77" s="10">
        <v>136.13999999999999</v>
      </c>
    </row>
    <row r="78" spans="4:6" x14ac:dyDescent="0.3">
      <c r="D78" s="6">
        <v>43191</v>
      </c>
      <c r="F78" s="10">
        <v>139.81</v>
      </c>
    </row>
    <row r="79" spans="4:6" x14ac:dyDescent="0.3">
      <c r="D79" s="6">
        <v>43221</v>
      </c>
      <c r="F79" s="10">
        <v>141.93</v>
      </c>
    </row>
    <row r="80" spans="4:6" x14ac:dyDescent="0.3">
      <c r="D80" s="6">
        <v>43252</v>
      </c>
      <c r="F80" s="10">
        <v>143.13999999999999</v>
      </c>
    </row>
    <row r="81" spans="4:6" x14ac:dyDescent="0.3">
      <c r="D81" s="6">
        <v>43282</v>
      </c>
      <c r="F81" s="10">
        <v>146.9</v>
      </c>
    </row>
    <row r="82" spans="4:6" x14ac:dyDescent="0.3">
      <c r="D82" s="6">
        <v>43313</v>
      </c>
      <c r="F82" s="10">
        <v>151.05000000000001</v>
      </c>
    </row>
    <row r="83" spans="4:6" x14ac:dyDescent="0.3">
      <c r="D83" s="6">
        <v>43344</v>
      </c>
      <c r="F83" s="10">
        <v>155.44</v>
      </c>
    </row>
    <row r="84" spans="4:6" x14ac:dyDescent="0.3">
      <c r="D84" s="6">
        <v>43374</v>
      </c>
      <c r="F84" s="10">
        <v>161.12</v>
      </c>
    </row>
    <row r="85" spans="4:6" x14ac:dyDescent="0.3">
      <c r="D85" s="6">
        <v>43405</v>
      </c>
      <c r="F85" s="10">
        <v>165.83</v>
      </c>
    </row>
    <row r="86" spans="4:6" x14ac:dyDescent="0.3">
      <c r="D86" s="6">
        <v>43435</v>
      </c>
      <c r="F86" s="10">
        <v>169.94</v>
      </c>
    </row>
    <row r="87" spans="4:6" x14ac:dyDescent="0.3">
      <c r="D87" s="6">
        <v>43466</v>
      </c>
      <c r="F87" s="10">
        <v>175.19</v>
      </c>
    </row>
    <row r="88" spans="4:6" x14ac:dyDescent="0.3">
      <c r="D88" s="6">
        <v>43497</v>
      </c>
      <c r="F88" s="10">
        <v>179.84</v>
      </c>
    </row>
    <row r="89" spans="4:6" x14ac:dyDescent="0.3">
      <c r="D89" s="6">
        <v>43525</v>
      </c>
      <c r="F89" s="10">
        <v>186.94</v>
      </c>
    </row>
    <row r="90" spans="4:6" x14ac:dyDescent="0.3">
      <c r="D90" s="6">
        <v>43556</v>
      </c>
      <c r="F90" s="10">
        <v>191.11</v>
      </c>
    </row>
    <row r="91" spans="4:6" x14ac:dyDescent="0.3">
      <c r="D91" s="6">
        <v>43586</v>
      </c>
      <c r="F91" s="10">
        <v>196.51</v>
      </c>
    </row>
    <row r="92" spans="4:6" x14ac:dyDescent="0.3">
      <c r="D92" s="6">
        <v>43617</v>
      </c>
      <c r="F92" s="10">
        <v>200.44</v>
      </c>
    </row>
    <row r="93" spans="4:6" x14ac:dyDescent="0.3">
      <c r="D93" s="6">
        <v>43647</v>
      </c>
      <c r="F93" s="10">
        <v>209.9</v>
      </c>
    </row>
    <row r="94" spans="4:6" x14ac:dyDescent="0.3">
      <c r="D94" s="6">
        <v>43678</v>
      </c>
      <c r="F94" s="10">
        <v>215.02</v>
      </c>
    </row>
    <row r="95" spans="4:6" x14ac:dyDescent="0.3">
      <c r="D95" s="6">
        <v>43709</v>
      </c>
      <c r="F95" s="10">
        <v>220.77</v>
      </c>
    </row>
    <row r="96" spans="4:6" x14ac:dyDescent="0.3">
      <c r="D96" s="6">
        <v>43739</v>
      </c>
      <c r="F96" s="10">
        <v>227.92</v>
      </c>
    </row>
    <row r="97" spans="4:6" x14ac:dyDescent="0.3">
      <c r="D97" s="6">
        <v>43770</v>
      </c>
      <c r="F97" s="10">
        <v>233.32</v>
      </c>
    </row>
    <row r="98" spans="4:6" x14ac:dyDescent="0.3">
      <c r="D98" s="6">
        <v>43800</v>
      </c>
      <c r="F98" s="10">
        <v>239.44</v>
      </c>
    </row>
    <row r="99" spans="4:6" x14ac:dyDescent="0.3">
      <c r="D99" s="6">
        <v>43831</v>
      </c>
      <c r="F99" s="10">
        <v>253.78</v>
      </c>
    </row>
    <row r="100" spans="4:6" x14ac:dyDescent="0.3">
      <c r="D100" s="6">
        <v>43862</v>
      </c>
      <c r="F100" s="10">
        <v>263.55</v>
      </c>
    </row>
    <row r="101" spans="4:6" x14ac:dyDescent="0.3">
      <c r="D101" s="6">
        <v>43891</v>
      </c>
      <c r="F101" s="10">
        <v>271.58</v>
      </c>
    </row>
    <row r="102" spans="4:6" x14ac:dyDescent="0.3">
      <c r="D102" s="6">
        <v>43922</v>
      </c>
      <c r="F102" s="10">
        <v>272.02999999999997</v>
      </c>
    </row>
    <row r="103" spans="4:6" x14ac:dyDescent="0.3">
      <c r="D103" s="6">
        <v>43952</v>
      </c>
      <c r="F103" s="10">
        <v>271.83999999999997</v>
      </c>
    </row>
    <row r="104" spans="4:6" x14ac:dyDescent="0.3">
      <c r="D104" s="6">
        <v>43983</v>
      </c>
      <c r="F104" s="10">
        <v>273.47000000000003</v>
      </c>
    </row>
    <row r="105" spans="4:6" x14ac:dyDescent="0.3">
      <c r="D105" s="6">
        <v>44013</v>
      </c>
      <c r="F105" s="10">
        <v>278.37</v>
      </c>
    </row>
    <row r="106" spans="4:6" x14ac:dyDescent="0.3">
      <c r="D106" s="6">
        <v>44044</v>
      </c>
      <c r="F106" s="10">
        <v>283.92</v>
      </c>
    </row>
    <row r="107" spans="4:6" x14ac:dyDescent="0.3">
      <c r="D107" s="6">
        <v>44075</v>
      </c>
      <c r="F107" s="10">
        <v>291.02</v>
      </c>
    </row>
    <row r="108" spans="4:6" x14ac:dyDescent="0.3">
      <c r="D108" s="6">
        <v>44105</v>
      </c>
      <c r="F108" s="10">
        <v>302.94</v>
      </c>
    </row>
    <row r="109" spans="4:6" x14ac:dyDescent="0.3">
      <c r="D109" s="6">
        <v>44136</v>
      </c>
      <c r="F109" s="10">
        <v>312.92</v>
      </c>
    </row>
    <row r="110" spans="4:6" x14ac:dyDescent="0.3">
      <c r="D110" s="6">
        <v>44166</v>
      </c>
      <c r="F110" s="10">
        <v>318.42</v>
      </c>
    </row>
    <row r="111" spans="4:6" x14ac:dyDescent="0.3">
      <c r="D111" s="6">
        <v>44197</v>
      </c>
      <c r="F111" s="10">
        <v>328.84</v>
      </c>
    </row>
    <row r="112" spans="4:6" x14ac:dyDescent="0.3">
      <c r="D112" s="6">
        <v>44228</v>
      </c>
      <c r="F112" s="10">
        <v>343.06</v>
      </c>
    </row>
    <row r="113" spans="4:6" x14ac:dyDescent="0.3">
      <c r="D113" s="6">
        <v>44256</v>
      </c>
      <c r="F113" s="10">
        <v>360.28</v>
      </c>
    </row>
    <row r="114" spans="4:6" x14ac:dyDescent="0.3">
      <c r="D114" s="6">
        <v>44287</v>
      </c>
      <c r="F114" s="10">
        <v>371.84</v>
      </c>
    </row>
    <row r="115" spans="4:6" x14ac:dyDescent="0.3">
      <c r="D115" s="6">
        <v>44317</v>
      </c>
      <c r="F115" s="10">
        <v>382.42</v>
      </c>
    </row>
    <row r="116" spans="4:6" x14ac:dyDescent="0.3">
      <c r="D116" s="6">
        <v>44348</v>
      </c>
      <c r="F116" s="10">
        <v>391.16</v>
      </c>
    </row>
    <row r="117" spans="4:6" x14ac:dyDescent="0.3">
      <c r="D117" s="6">
        <v>44378</v>
      </c>
      <c r="F117" s="10">
        <v>410.37</v>
      </c>
    </row>
    <row r="118" spans="4:6" x14ac:dyDescent="0.3">
      <c r="D118" s="6">
        <v>44409</v>
      </c>
      <c r="F118" s="10">
        <v>423.41</v>
      </c>
    </row>
    <row r="119" spans="4:6" x14ac:dyDescent="0.3">
      <c r="D119" s="6">
        <v>44440</v>
      </c>
      <c r="F119" s="10">
        <v>440.34</v>
      </c>
    </row>
    <row r="120" spans="4:6" x14ac:dyDescent="0.3">
      <c r="D120" s="6">
        <v>44470</v>
      </c>
      <c r="F120" s="10">
        <v>458.07</v>
      </c>
    </row>
    <row r="121" spans="4:6" x14ac:dyDescent="0.3">
      <c r="D121" s="6">
        <v>44501</v>
      </c>
      <c r="F121" s="10">
        <v>476.11</v>
      </c>
    </row>
    <row r="122" spans="4:6" x14ac:dyDescent="0.3">
      <c r="D122" s="6">
        <v>44531</v>
      </c>
      <c r="F122" s="10">
        <v>488.33</v>
      </c>
    </row>
    <row r="123" spans="4:6" x14ac:dyDescent="0.3">
      <c r="D123" s="6">
        <v>44562</v>
      </c>
      <c r="F123" s="10">
        <v>506.68</v>
      </c>
    </row>
    <row r="124" spans="4:6" x14ac:dyDescent="0.3">
      <c r="D124" s="6">
        <v>44593</v>
      </c>
      <c r="F124" s="10">
        <v>522.55999999999995</v>
      </c>
    </row>
    <row r="125" spans="4:6" x14ac:dyDescent="0.3">
      <c r="D125" s="6">
        <v>44621</v>
      </c>
      <c r="F125" s="10">
        <v>561.16</v>
      </c>
    </row>
    <row r="126" spans="4:6" x14ac:dyDescent="0.3">
      <c r="D126" s="6">
        <v>44652</v>
      </c>
      <c r="F126" s="10">
        <v>589.01</v>
      </c>
    </row>
    <row r="127" spans="4:6" x14ac:dyDescent="0.3">
      <c r="D127" s="6">
        <v>44682</v>
      </c>
      <c r="F127" s="10">
        <v>625.63</v>
      </c>
    </row>
    <row r="128" spans="4:6" x14ac:dyDescent="0.3">
      <c r="D128" s="6">
        <v>44713</v>
      </c>
      <c r="F128" s="10">
        <v>655.94</v>
      </c>
    </row>
    <row r="129" spans="4:6" x14ac:dyDescent="0.3">
      <c r="D129" s="6">
        <v>44743</v>
      </c>
      <c r="F129" s="10">
        <v>692.32</v>
      </c>
    </row>
    <row r="130" spans="4:6" x14ac:dyDescent="0.3">
      <c r="D130" s="6">
        <v>44774</v>
      </c>
      <c r="F130" s="10">
        <v>737.46</v>
      </c>
    </row>
    <row r="131" spans="4:6" x14ac:dyDescent="0.3">
      <c r="D131" s="6">
        <v>44805</v>
      </c>
      <c r="F131" s="10">
        <v>787.08</v>
      </c>
    </row>
    <row r="132" spans="4:6" x14ac:dyDescent="0.3">
      <c r="D132" s="6">
        <v>44835</v>
      </c>
      <c r="F132" s="10">
        <v>827.54</v>
      </c>
    </row>
    <row r="133" spans="4:6" x14ac:dyDescent="0.3">
      <c r="D133" s="6">
        <v>44866</v>
      </c>
      <c r="F133" s="10">
        <v>883.06</v>
      </c>
    </row>
    <row r="134" spans="4:6" x14ac:dyDescent="0.3">
      <c r="D134" s="6">
        <v>44896</v>
      </c>
      <c r="F134" s="10">
        <v>929.56</v>
      </c>
    </row>
    <row r="135" spans="4:6" x14ac:dyDescent="0.3">
      <c r="D135" s="6">
        <v>44927</v>
      </c>
      <c r="F135" s="10">
        <v>973.35</v>
      </c>
    </row>
    <row r="136" spans="4:6" x14ac:dyDescent="0.3">
      <c r="D136" s="6">
        <v>44958</v>
      </c>
      <c r="F136" s="10">
        <v>1031.74</v>
      </c>
    </row>
    <row r="137" spans="4:6" x14ac:dyDescent="0.3">
      <c r="D137" s="6">
        <v>44986</v>
      </c>
      <c r="F137" s="10">
        <v>1136.04</v>
      </c>
    </row>
    <row r="138" spans="4:6" x14ac:dyDescent="0.3">
      <c r="D138" s="6">
        <v>45017</v>
      </c>
      <c r="F138" s="10">
        <v>1200.49</v>
      </c>
    </row>
    <row r="139" spans="4:6" x14ac:dyDescent="0.3">
      <c r="D139" s="6">
        <v>45047</v>
      </c>
      <c r="F139" s="10">
        <v>1290.46</v>
      </c>
    </row>
    <row r="140" spans="4:6" x14ac:dyDescent="0.3">
      <c r="D140" s="6">
        <v>45078</v>
      </c>
      <c r="F140" s="10">
        <v>1368.71</v>
      </c>
    </row>
    <row r="141" spans="4:6" x14ac:dyDescent="0.3">
      <c r="D141" s="6">
        <v>45108</v>
      </c>
      <c r="F141" s="10">
        <v>1519.5</v>
      </c>
    </row>
    <row r="142" spans="4:6" x14ac:dyDescent="0.3">
      <c r="D142" s="6">
        <v>45139</v>
      </c>
      <c r="F142" s="10">
        <v>1635.33</v>
      </c>
    </row>
    <row r="143" spans="4:6" x14ac:dyDescent="0.3">
      <c r="D143" s="6">
        <v>45170</v>
      </c>
      <c r="F143" s="10">
        <v>1826.29</v>
      </c>
    </row>
    <row r="144" spans="4:6" x14ac:dyDescent="0.3">
      <c r="D144" s="6">
        <v>45200</v>
      </c>
      <c r="F144" s="10">
        <v>1978.41</v>
      </c>
    </row>
    <row r="145" spans="4:6" x14ac:dyDescent="0.3">
      <c r="D145" s="6">
        <v>45231</v>
      </c>
      <c r="F145" s="10">
        <v>2157.73</v>
      </c>
    </row>
    <row r="146" spans="4:6" x14ac:dyDescent="0.3">
      <c r="D146" s="6">
        <v>45261</v>
      </c>
      <c r="F146" s="10">
        <v>2348.79</v>
      </c>
    </row>
    <row r="147" spans="4:6" x14ac:dyDescent="0.3">
      <c r="D147" s="6">
        <v>45292</v>
      </c>
      <c r="F147" s="10">
        <v>2734.97</v>
      </c>
    </row>
    <row r="148" spans="4:6" x14ac:dyDescent="0.3">
      <c r="D148" s="6">
        <v>45323</v>
      </c>
      <c r="F148" s="10">
        <v>3099.2</v>
      </c>
    </row>
    <row r="149" spans="4:6" x14ac:dyDescent="0.3">
      <c r="D149" s="6">
        <v>45352</v>
      </c>
      <c r="F149" s="10">
        <v>3417.34</v>
      </c>
    </row>
    <row r="150" spans="4:6" x14ac:dyDescent="0.3">
      <c r="D150" s="6">
        <v>45383</v>
      </c>
      <c r="F150" s="10">
        <v>3764.21</v>
      </c>
    </row>
    <row r="151" spans="4:6" x14ac:dyDescent="0.3">
      <c r="D151" s="6">
        <v>45413</v>
      </c>
      <c r="F151" s="10">
        <v>4077.32</v>
      </c>
    </row>
    <row r="152" spans="4:6" x14ac:dyDescent="0.3">
      <c r="D152" s="6">
        <v>45444</v>
      </c>
      <c r="F152" s="10">
        <v>4329.8</v>
      </c>
    </row>
    <row r="153" spans="4:6" x14ac:dyDescent="0.3">
      <c r="D153" s="6">
        <v>45474</v>
      </c>
      <c r="F153" s="10">
        <v>4653.26</v>
      </c>
    </row>
    <row r="154" spans="4:6" x14ac:dyDescent="0.3">
      <c r="D154" s="6">
        <v>45505</v>
      </c>
      <c r="F154" s="10">
        <v>4916.1899999999996</v>
      </c>
    </row>
    <row r="155" spans="4:6" x14ac:dyDescent="0.3">
      <c r="D155" s="6">
        <v>45536</v>
      </c>
      <c r="F155" s="10">
        <v>5147.6099999999997</v>
      </c>
    </row>
    <row r="156" spans="4:6" x14ac:dyDescent="0.3">
      <c r="D156" s="6">
        <v>45566</v>
      </c>
      <c r="F156" s="10">
        <v>5383.96</v>
      </c>
    </row>
    <row r="157" spans="4:6" x14ac:dyDescent="0.3">
      <c r="D157" s="6">
        <v>45597</v>
      </c>
      <c r="F157" s="10">
        <v>5591</v>
      </c>
    </row>
    <row r="158" spans="4:6" x14ac:dyDescent="0.3">
      <c r="D158" s="6">
        <v>45627</v>
      </c>
      <c r="F158" s="10">
        <v>5765.54</v>
      </c>
    </row>
    <row r="159" spans="4:6" x14ac:dyDescent="0.3">
      <c r="D159" s="6">
        <v>45658</v>
      </c>
      <c r="F159" s="10">
        <v>5934.47</v>
      </c>
    </row>
    <row r="160" spans="4:6" x14ac:dyDescent="0.3">
      <c r="D160" s="6">
        <v>45689</v>
      </c>
      <c r="F160" s="10">
        <v>6161.52</v>
      </c>
    </row>
    <row r="161" spans="4:6" x14ac:dyDescent="0.3">
      <c r="D161" s="6">
        <v>45717</v>
      </c>
      <c r="F161" s="10">
        <v>6344.81</v>
      </c>
    </row>
    <row r="162" spans="4:6" x14ac:dyDescent="0.3">
      <c r="D162" s="6">
        <v>45748</v>
      </c>
      <c r="F162" s="10">
        <v>6559.31</v>
      </c>
    </row>
    <row r="163" spans="4:6" x14ac:dyDescent="0.3">
      <c r="D163" s="6">
        <v>45778</v>
      </c>
      <c r="F163" s="10">
        <v>6755.22</v>
      </c>
    </row>
    <row r="164" spans="4:6" x14ac:dyDescent="0.3">
      <c r="D164" s="7">
        <v>45809</v>
      </c>
      <c r="F164" s="10">
        <v>6956.46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15041239AE334D8A3BBC5812FFA3B3" ma:contentTypeVersion="3" ma:contentTypeDescription="Crear nuevo documento." ma:contentTypeScope="" ma:versionID="aa6560d6e5dee3ba6708a6653108891d">
  <xsd:schema xmlns:xsd="http://www.w3.org/2001/XMLSchema" xmlns:xs="http://www.w3.org/2001/XMLSchema" xmlns:p="http://schemas.microsoft.com/office/2006/metadata/properties" xmlns:ns2="5a5ea70a-d6cc-4635-bfce-43f7e14267d5" targetNamespace="http://schemas.microsoft.com/office/2006/metadata/properties" ma:root="true" ma:fieldsID="618a6aab7b4ac5193eb00d2c658cd666" ns2:_="">
    <xsd:import namespace="5a5ea70a-d6cc-4635-bfce-43f7e14267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ea70a-d6cc-4635-bfce-43f7e14267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27998C-74FD-49B5-A3F7-613EB4282C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ea70a-d6cc-4635-bfce-43f7e14267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879244-98B5-4D85-B844-460917CFE3D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6AAB185-FB4B-4DDD-A4C0-F15E21F1FAD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A34847E-FB91-4450-9FA2-505365242FEE}">
  <ds:schemaRefs>
    <ds:schemaRef ds:uri="http://purl.org/dc/terms/"/>
    <ds:schemaRef ds:uri="http://schemas.microsoft.com/office/infopath/2007/PartnerControls"/>
    <ds:schemaRef ds:uri="http://www.w3.org/XML/1998/namespace"/>
    <ds:schemaRef ds:uri="5a5ea70a-d6cc-4635-bfce-43f7e14267d5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VAB_trim</vt:lpstr>
      <vt:lpstr>Salarios_Total_General</vt:lpstr>
      <vt:lpstr>Salario_sector_trim</vt:lpstr>
      <vt:lpstr>Salarios_Ind_Trim</vt:lpstr>
      <vt:lpstr>Puesto_desest_trim</vt:lpstr>
      <vt:lpstr>IPC_trim</vt:lpstr>
      <vt:lpstr>borador</vt:lpstr>
      <vt:lpstr>borador_2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Joaquín Nuñez</dc:creator>
  <cp:keywords/>
  <dc:description/>
  <cp:lastModifiedBy>Nicolás David Novoa</cp:lastModifiedBy>
  <cp:revision/>
  <dcterms:created xsi:type="dcterms:W3CDTF">2025-11-13T19:01:25Z</dcterms:created>
  <dcterms:modified xsi:type="dcterms:W3CDTF">2025-11-19T22:09:53Z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0x010100D015041239AE334D8A3BBC5812FFA3B3</vt:lpwstr>
  </property>
</Properties>
</file>